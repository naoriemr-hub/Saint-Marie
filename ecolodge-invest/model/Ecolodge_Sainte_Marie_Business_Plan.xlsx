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ese KPI" sheetId="1" state="visible" r:id="rId3"/>
    <sheet name="Scenario Rachat" sheetId="2" state="visible" r:id="rId4"/>
    <sheet name="Hypotheses" sheetId="3" state="visible" r:id="rId5"/>
    <sheet name="CAPEX" sheetId="4" state="visible" r:id="rId6"/>
    <sheet name="Compte de resultat" sheetId="5" state="visible" r:id="rId7"/>
    <sheet name="Financeme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<sst xmlns="http://schemas.openxmlformats.org/spreadsheetml/2006/main" count="293" uniqueCount="227">
  <si>
    <t xml:space="preserve">SYNTHESE ET INDICATEURS CLES</t>
  </si>
  <si>
    <t xml:space="preserve">Reflete desormais le scenario RACHAT PHASE (existant + tranches autofinancees). Le detail construction neuve reste dans les onglets Hypotheses/CAPEX/Compte de resultat/Financement, a titre de comparaison.</t>
  </si>
  <si>
    <t xml:space="preserve">INDICATEURS D'EXPLOITATION</t>
  </si>
  <si>
    <t xml:space="preserve">Annee 1</t>
  </si>
  <si>
    <t xml:space="preserve">Annee 2</t>
  </si>
  <si>
    <t xml:space="preserve">Annee 3</t>
  </si>
  <si>
    <t xml:space="preserve">Annee 4</t>
  </si>
  <si>
    <t xml:space="preserve">Annee 5</t>
  </si>
  <si>
    <t xml:space="preserve">Annee 6</t>
  </si>
  <si>
    <t xml:space="preserve">Annee 7</t>
  </si>
  <si>
    <t xml:space="preserve">Taux d'occupation</t>
  </si>
  <si>
    <t xml:space="preserve">ADR - prix moyen chambre (EUR)</t>
  </si>
  <si>
    <t xml:space="preserve">RevPAR (revenu par chambre disponible)</t>
  </si>
  <si>
    <t xml:space="preserve">INDICATEURS FINANCIERS</t>
  </si>
  <si>
    <t xml:space="preserve">Chiffre d'affaires total</t>
  </si>
  <si>
    <t xml:space="preserve">EBITDA</t>
  </si>
  <si>
    <t xml:space="preserve">Marge EBITDA</t>
  </si>
  <si>
    <t xml:space="preserve">Resultat net</t>
  </si>
  <si>
    <t xml:space="preserve">STRUCTURE DE FINANCEMENT</t>
  </si>
  <si>
    <t xml:space="preserve">CAPEX total</t>
  </si>
  <si>
    <t xml:space="preserve">Fonds propres investis</t>
  </si>
  <si>
    <t xml:space="preserve">Emprunt bancaire</t>
  </si>
  <si>
    <t xml:space="preserve">Cash-flow cumule fin Annee 7 (investissement total, avant valeur terminale)</t>
  </si>
  <si>
    <t xml:space="preserve">Annee</t>
  </si>
  <si>
    <t xml:space="preserve">CA total (k EUR)</t>
  </si>
  <si>
    <t xml:space="preserve">EBITDA (k EUR)</t>
  </si>
  <si>
    <t xml:space="preserve">SCENARIO RACHAT PHASE — CROISSANCE AUTOFINANCEE, DETTE MINIMISEE</t>
  </si>
  <si>
    <t xml:space="preserve">Tranches reduites + financement dedie par tranche (dette limitee, remboursee sur le cash-flow qu'elle genere). Base : Vohilava, 480 000 EUR, 4 villas.</t>
  </si>
  <si>
    <t xml:space="preserve">1. ACQUISITION ET RENOVATION (Annee 0)</t>
  </si>
  <si>
    <t xml:space="preserve">Prix d'acquisition (murs + terrain + fonds de commerce)</t>
  </si>
  <si>
    <t xml:space="preserve">Frais d'acquisition (notaire, due diligence, EDBM, audit)</t>
  </si>
  <si>
    <t xml:space="preserve">Renovation haut de gamme + autonomie - villas existantes (par unite)</t>
  </si>
  <si>
    <t xml:space="preserve">Renovation espaces communs (restaurant, reception, piscine)</t>
  </si>
  <si>
    <t xml:space="preserve">Etudes, permis, repositionnement de marque, marketing de relance</t>
  </si>
  <si>
    <t xml:space="preserve">2. PLAN DE PHASAGE — TRANCHES REDUITES POUR RESTER AUTOFINANCABLES</t>
  </si>
  <si>
    <t xml:space="preserve">Tranche</t>
  </si>
  <si>
    <t xml:space="preserve">Chambres</t>
  </si>
  <si>
    <t xml:space="preserve">Annee mise en service</t>
  </si>
  <si>
    <t xml:space="preserve">Construction (EUR)</t>
  </si>
  <si>
    <t xml:space="preserve">FF&amp;E (EUR)</t>
  </si>
  <si>
    <t xml:space="preserve">Autonomie increm. (EUR)</t>
  </si>
  <si>
    <t xml:space="preserve">Total tranche (EUR)</t>
  </si>
  <si>
    <t xml:space="preserve">Tranche 0 - villas existantes renovees</t>
  </si>
  <si>
    <t xml:space="preserve">Tranche 1 - construction (petite extension)</t>
  </si>
  <si>
    <t xml:space="preserve">Tranche 2 - construction (petite extension)</t>
  </si>
  <si>
    <t xml:space="preserve">Tranche 3 - construction (petite extension)</t>
  </si>
  <si>
    <t xml:space="preserve">Total chambres a terme (doit = cible Hypotheses)</t>
  </si>
  <si>
    <t xml:space="preserve">SOUS-TOTAL ACQUISITION + RENOVATION (Annee 0)</t>
  </si>
  <si>
    <t xml:space="preserve">Imprevus / contingence (12%)</t>
  </si>
  <si>
    <t xml:space="preserve">TOTAL INVESTISSEMENT INITIAL (Annee 0)</t>
  </si>
  <si>
    <t xml:space="preserve">3. FINANCEMENT PHASE 0 (emprunt reduit) ET FINANCEMENT DEDIE PAR TRANCHE</t>
  </si>
  <si>
    <t xml:space="preserve">Part fonds propres - Phase 0 (reduit l'emprunt initial)</t>
  </si>
  <si>
    <t xml:space="preserve">Part dette dediee par tranche de construction (le solde vient du cash-flow)</t>
  </si>
  <si>
    <t xml:space="preserve">Dette plus faible que Phase 0 : chaque tranche est deja partiellement payee cash</t>
  </si>
  <si>
    <t xml:space="preserve">Duree du pret dedie par tranche (annees)</t>
  </si>
  <si>
    <t xml:space="preserve">Fonds propres investis - Annee 0</t>
  </si>
  <si>
    <t xml:space="preserve">Emprunt bancaire principal - Annee 0</t>
  </si>
  <si>
    <t xml:space="preserve">4. CHAMBRES DISPONIBLES ET CAPEX PAR ANNEE</t>
  </si>
  <si>
    <t xml:space="preserve">Chambres disponibles</t>
  </si>
  <si>
    <t xml:space="preserve">CAPEX total de la tranche construite dans l'annee</t>
  </si>
  <si>
    <t xml:space="preserve">dont finance par dette dediee</t>
  </si>
  <si>
    <t xml:space="preserve">dont autofinance (cash-flow / fonds propres)</t>
  </si>
  <si>
    <t xml:space="preserve">5. COMPTE DE RESULTAT PHASE</t>
  </si>
  <si>
    <t xml:space="preserve">CA Hebergement</t>
  </si>
  <si>
    <t xml:space="preserve">CA Restauration + Spa/activites</t>
  </si>
  <si>
    <t xml:space="preserve">CA TOTAL</t>
  </si>
  <si>
    <t xml:space="preserve">Commissions distribution</t>
  </si>
  <si>
    <t xml:space="preserve">CA NET</t>
  </si>
  <si>
    <t xml:space="preserve">Cout matieres restauration</t>
  </si>
  <si>
    <t xml:space="preserve">Masse salariale (ETP proportionnel aux chambres, plancher 8)</t>
  </si>
  <si>
    <t xml:space="preserve">Redevance bail emphyteotique</t>
  </si>
  <si>
    <t xml:space="preserve">Maintenance, assurance, marketing, admin (% CA)</t>
  </si>
  <si>
    <t xml:space="preserve">TOTAL CHARGES D'EXPLOITATION</t>
  </si>
  <si>
    <t xml:space="preserve">Amortissements (toutes tranches en service)</t>
  </si>
  <si>
    <t xml:space="preserve">EBIT</t>
  </si>
  <si>
    <t xml:space="preserve">Charges financieres (interets - emprunt principal + prets tranches)</t>
  </si>
  <si>
    <t xml:space="preserve">RESULTAT AVANT IMPOT (EBT)</t>
  </si>
  <si>
    <t xml:space="preserve">6. IMPOT SUR LES SOCIETES AVEC REPORT DEFICITAIRE (5 ans, CGI Madagascar)</t>
  </si>
  <si>
    <t xml:space="preserve">Deficit reportable disponible - debut d'annee</t>
  </si>
  <si>
    <t xml:space="preserve">Deficit impute sur l'annee</t>
  </si>
  <si>
    <t xml:space="preserve">Base imposable (EBT - deficit impute)</t>
  </si>
  <si>
    <t xml:space="preserve">Impot sur les societes (IS)</t>
  </si>
  <si>
    <t xml:space="preserve">Deficit reportable - fin d'annee</t>
  </si>
  <si>
    <t xml:space="preserve">RESULTAT NET (EBT + IS)</t>
  </si>
  <si>
    <t xml:space="preserve">7. SERVICE DE LA DETTE — EMPRUNT PRINCIPAL + PRETS DEDIES PAR TRANCHE</t>
  </si>
  <si>
    <t xml:space="preserve">Annuite emprunt principal (interets + capital, constante)</t>
  </si>
  <si>
    <t xml:space="preserve">Capital restant du emprunt principal - debut periode</t>
  </si>
  <si>
    <t xml:space="preserve">Interets emprunt principal</t>
  </si>
  <si>
    <t xml:space="preserve">Remboursement capital emprunt principal</t>
  </si>
  <si>
    <t xml:space="preserve">Capital restant du emprunt principal - fin periode</t>
  </si>
  <si>
    <t xml:space="preserve">Pret dedie Tranche 1 - capital restant du debut periode</t>
  </si>
  <si>
    <t xml:space="preserve">Pret dedie Tranche 1 - interets</t>
  </si>
  <si>
    <t xml:space="preserve">Pret dedie Tranche 1 - remboursement capital</t>
  </si>
  <si>
    <t xml:space="preserve">Pret dedie Tranche 2 - capital restant du debut periode</t>
  </si>
  <si>
    <t xml:space="preserve">Pret dedie Tranche 2 - interets</t>
  </si>
  <si>
    <t xml:space="preserve">Pret dedie Tranche 2 - remboursement capital</t>
  </si>
  <si>
    <t xml:space="preserve">Pret dedie Tranche 3 - capital restant du debut periode</t>
  </si>
  <si>
    <t xml:space="preserve">Pret dedie Tranche 3 - interets</t>
  </si>
  <si>
    <t xml:space="preserve">Pret dedie Tranche 3 - remboursement capital</t>
  </si>
  <si>
    <t xml:space="preserve">TOTAL INTERETS (principal + 3 prets tranches)</t>
  </si>
  <si>
    <t xml:space="preserve">TOTAL REMBOURSEMENT CAPITAL (principal + 3 prets tranches)</t>
  </si>
  <si>
    <t xml:space="preserve">CASH-FLOW DISPONIBLE POUR L'INVESTISSEUR</t>
  </si>
  <si>
    <t xml:space="preserve">CASH-FLOW CUMULE (avant apport initial)</t>
  </si>
  <si>
    <t xml:space="preserve">ECOLODGE SAINTE-MARIE — HYPOTHESES</t>
  </si>
  <si>
    <t xml:space="preserve">Toutes les cellules bleues sont modifiables. Montants en EUR sauf indication.</t>
  </si>
  <si>
    <t xml:space="preserve">1. PARAMETRES ETABLISSEMENT</t>
  </si>
  <si>
    <t xml:space="preserve">Nombre de chambres</t>
  </si>
  <si>
    <t xml:space="preserve">Nuits disponibles / an / chambre</t>
  </si>
  <si>
    <t xml:space="preserve">2. TARIFICATION ET OCCUPATION (montee en charge)</t>
  </si>
  <si>
    <t xml:space="preserve">Année 1</t>
  </si>
  <si>
    <t xml:space="preserve">Année 2</t>
  </si>
  <si>
    <t xml:space="preserve">Année 3</t>
  </si>
  <si>
    <t xml:space="preserve">Année 4</t>
  </si>
  <si>
    <t xml:space="preserve">Année 5</t>
  </si>
  <si>
    <t xml:space="preserve">Année 6</t>
  </si>
  <si>
    <t xml:space="preserve">Année 7</t>
  </si>
  <si>
    <t xml:space="preserve">Prix moyen chambre / nuit - ADR (EUR)</t>
  </si>
  <si>
    <t xml:space="preserve">Taux d'occupation annuel moyen</t>
  </si>
  <si>
    <t xml:space="preserve">3. REVENUS ANNEXES (en % du CA Hebergement)</t>
  </si>
  <si>
    <t xml:space="preserve">Restauration / bar</t>
  </si>
  <si>
    <t xml:space="preserve">Spa, bien-etre, excursions, plongee</t>
  </si>
  <si>
    <t xml:space="preserve">4. DISTRIBUTION ET CHARGES VARIABLES</t>
  </si>
  <si>
    <t xml:space="preserve">Commissions distribution (OTA, agences) en % du CA total</t>
  </si>
  <si>
    <t xml:space="preserve">Cout matieres restauration en % du CA F&amp;B</t>
  </si>
  <si>
    <t xml:space="preserve">5. MASSE SALARIALE</t>
  </si>
  <si>
    <t xml:space="preserve">Effectif total (ETP) - ratio ~1,6 ETP/chambre</t>
  </si>
  <si>
    <t xml:space="preserve">Cout annuel charge moyen / ETP (EUR) - mix local/encadrement</t>
  </si>
  <si>
    <t xml:space="preserve">Inflation salariale annuelle</t>
  </si>
  <si>
    <t xml:space="preserve">6. AUTRES CHARGES D'EXPLOITATION (en % du CA total)</t>
  </si>
  <si>
    <t xml:space="preserve">Maintenance, entretien (installations autonomie incluses)</t>
  </si>
  <si>
    <t xml:space="preserve">Assurances</t>
  </si>
  <si>
    <t xml:space="preserve">Marketing et communication (hors commissions OTA)</t>
  </si>
  <si>
    <t xml:space="preserve">Frais administratifs, comptables, juridiques, divers</t>
  </si>
  <si>
    <t xml:space="preserve">7. FONCIER</t>
  </si>
  <si>
    <t xml:space="preserve">Redevance annuelle bail emphyteotique (EUR)</t>
  </si>
  <si>
    <t xml:space="preserve">8. FISCALITE</t>
  </si>
  <si>
    <t xml:space="preserve">Taux Impot sur les Societes (IS) standard Madagascar</t>
  </si>
  <si>
    <t xml:space="preserve">Duree amortissement du CAPEX (annees, hors terrain)</t>
  </si>
  <si>
    <t xml:space="preserve">9. FINANCEMENT</t>
  </si>
  <si>
    <t xml:space="preserve">Part fonds propres</t>
  </si>
  <si>
    <t xml:space="preserve">Part emprunt bancaire / dette</t>
  </si>
  <si>
    <t xml:space="preserve">Taux d'interet annuel emprunt</t>
  </si>
  <si>
    <t xml:space="preserve">Duree emprunt (annees)</t>
  </si>
  <si>
    <t xml:space="preserve">Note : ces hypotheses sont des ordres de grandeur de marche pour un ecolodge haut de gamme en ocean Indien, a affiner avec une etude de marche locale (concurrence directe a Sainte-Marie), des devis chantier fermes et un audit RH local avant toute presentation a des financeurs.</t>
  </si>
  <si>
    <t xml:space="preserve">BESOIN D'INVESTISSEMENT (CAPEX)</t>
  </si>
  <si>
    <t xml:space="preserve">Montants en EUR. Hypothese : 12 chambres. A confirmer par devis chantier / etudes techniques.</t>
  </si>
  <si>
    <t xml:space="preserve">Poste</t>
  </si>
  <si>
    <t xml:space="preserve">Montant (EUR)</t>
  </si>
  <si>
    <t xml:space="preserve">Base de calcul / commentaire</t>
  </si>
  <si>
    <t xml:space="preserve">1. FONCIER</t>
  </si>
  <si>
    <t xml:space="preserve">Droit d'entree bail emphyteotique + frais notaries/EDBM</t>
  </si>
  <si>
    <t xml:space="preserve">Bail 49-99 ans, hors redevance annuelle (en OPEX)</t>
  </si>
  <si>
    <t xml:space="preserve">2. ETUDES ET AUTORISATIONS</t>
  </si>
  <si>
    <t xml:space="preserve">Etudes (architecte, bureau d'etudes, geotechnique)</t>
  </si>
  <si>
    <t xml:space="preserve">Etude d'impact environnemental (EIE) + permis</t>
  </si>
  <si>
    <t xml:space="preserve">Sous-total etudes &amp; autorisations</t>
  </si>
  <si>
    <t xml:space="preserve">3. CONSTRUCTION</t>
  </si>
  <si>
    <t xml:space="preserve">Gros oeuvre + second oeuvre batiments (EUR/chambre)</t>
  </si>
  <si>
    <t xml:space="preserve">x nombre de chambres, voir ligne ci-dessous</t>
  </si>
  <si>
    <t xml:space="preserve">Construction totale (= cout/chambre x nb chambres)</t>
  </si>
  <si>
    <t xml:space="preserve">Espaces communs (restaurant, reception, spa, piscine)</t>
  </si>
  <si>
    <t xml:space="preserve">Amenagements exterieurs, paysager, acces, mobilier ext.</t>
  </si>
  <si>
    <t xml:space="preserve">Sous-total construction</t>
  </si>
  <si>
    <t xml:space="preserve">4. AUTONOMIE ENERGIE ET EAU</t>
  </si>
  <si>
    <t xml:space="preserve">Centrale photovoltaique + stockage batteries</t>
  </si>
  <si>
    <t xml:space="preserve">Solaire thermique (eau chaude sanitaire)</t>
  </si>
  <si>
    <t xml:space="preserve">Recuperation eaux de pluie + traitement/potabilisation</t>
  </si>
  <si>
    <t xml:space="preserve">Phytoepuration / traitement eaux usees</t>
  </si>
  <si>
    <t xml:space="preserve">Groupe electrogene de secours</t>
  </si>
  <si>
    <t xml:space="preserve">Sous-total autonomie energie &amp; eau</t>
  </si>
  <si>
    <t xml:space="preserve">5. EQUIPEMENTS ET MOBILIER (FF&amp;E)</t>
  </si>
  <si>
    <t xml:space="preserve">Mobilier, literie, decoration (EUR/chambre)</t>
  </si>
  <si>
    <t xml:space="preserve">FF&amp;E chambres (= EUR/chambre x nb chambres)</t>
  </si>
  <si>
    <t xml:space="preserve">Cuisine professionnelle et equipement restaurant</t>
  </si>
  <si>
    <t xml:space="preserve">Sous-total FF&amp;E</t>
  </si>
  <si>
    <t xml:space="preserve">6. FRAIS DE LANCEMENT ET DIVERS</t>
  </si>
  <si>
    <t xml:space="preserve">Recrutement, formation equipe, marketing de lancement</t>
  </si>
  <si>
    <t xml:space="preserve">Fonds de roulement initial (stocks, tresorerie demarrage)</t>
  </si>
  <si>
    <t xml:space="preserve">Sous-total lancement</t>
  </si>
  <si>
    <t xml:space="preserve">SOUS-TOTAL CAPEX (avant imprevus)</t>
  </si>
  <si>
    <t xml:space="preserve">Imprevus / contingence</t>
  </si>
  <si>
    <t xml:space="preserve">% du sous-total ci-dessus, standard chantier insulaire</t>
  </si>
  <si>
    <t xml:space="preserve">Montant imprevus</t>
  </si>
  <si>
    <t xml:space="preserve">TOTAL CAPEX</t>
  </si>
  <si>
    <t xml:space="preserve">dont TOTAL CAPEX amortissable (hors terrain)</t>
  </si>
  <si>
    <t xml:space="preserve">CAPEX / chambre</t>
  </si>
  <si>
    <t xml:space="preserve">COMPTE DE RESULTAT PREVISIONNEL</t>
  </si>
  <si>
    <t xml:space="preserve">Projection 7 ans - Montants en EUR</t>
  </si>
  <si>
    <t xml:space="preserve">ACTIVITE</t>
  </si>
  <si>
    <t xml:space="preserve">Chambres-nuits vendues</t>
  </si>
  <si>
    <t xml:space="preserve">Prix moyen chambre - ADR (EUR)</t>
  </si>
  <si>
    <t xml:space="preserve">CHIFFRE D'AFFAIRES</t>
  </si>
  <si>
    <t xml:space="preserve">CA Restauration / bar</t>
  </si>
  <si>
    <t xml:space="preserve">CA Spa / activites / excursions</t>
  </si>
  <si>
    <t xml:space="preserve">Commissions distribution (OTA, agences)</t>
  </si>
  <si>
    <t xml:space="preserve">CHARGES D'EXPLOITATION</t>
  </si>
  <si>
    <t xml:space="preserve">Masse salariale chargee</t>
  </si>
  <si>
    <t xml:space="preserve">Maintenance et entretien</t>
  </si>
  <si>
    <t xml:space="preserve">Marketing et communication</t>
  </si>
  <si>
    <t xml:space="preserve">Frais administratifs et divers</t>
  </si>
  <si>
    <t xml:space="preserve">EBITDA (Excedent Brut d'Exploitation)</t>
  </si>
  <si>
    <t xml:space="preserve">Marge EBITDA (% CA net)</t>
  </si>
  <si>
    <t xml:space="preserve">RESULTAT</t>
  </si>
  <si>
    <t xml:space="preserve">Amortissements (CAPEX hors terrain / duree)</t>
  </si>
  <si>
    <t xml:space="preserve">RESULTAT D'EXPLOITATION (EBIT)</t>
  </si>
  <si>
    <t xml:space="preserve">Charges financieres (interets emprunt)</t>
  </si>
  <si>
    <t xml:space="preserve">RESULTAT AVANT IMPOT</t>
  </si>
  <si>
    <t xml:space="preserve">RESULTAT NET</t>
  </si>
  <si>
    <t xml:space="preserve">PLAN DE FINANCEMENT ET TRESORERIE</t>
  </si>
  <si>
    <t xml:space="preserve">Montants en EUR</t>
  </si>
  <si>
    <t xml:space="preserve">1. PLAN DE FINANCEMENT INITIAL</t>
  </si>
  <si>
    <t xml:space="preserve">Besoin total en investissement (CAPEX)</t>
  </si>
  <si>
    <t xml:space="preserve">Fonds propres (apport investisseur)</t>
  </si>
  <si>
    <t xml:space="preserve">Emprunt bancaire / dette</t>
  </si>
  <si>
    <t xml:space="preserve">TOTAL RESSOURCES</t>
  </si>
  <si>
    <t xml:space="preserve">2. TABLEAU D'AMORTISSEMENT DE L'EMPRUNT (annuites constantes)</t>
  </si>
  <si>
    <t xml:space="preserve">Capital restant du - debut de periode</t>
  </si>
  <si>
    <t xml:space="preserve">Interets de la periode</t>
  </si>
  <si>
    <t xml:space="preserve">Annuite (interets + capital)</t>
  </si>
  <si>
    <t xml:space="preserve">Remboursement de capital</t>
  </si>
  <si>
    <t xml:space="preserve">Capital restant du - fin de periode</t>
  </si>
  <si>
    <t xml:space="preserve">3. FLUX DE TRESORERIE DISPONIBLE POUR L'INVESTISSEUR</t>
  </si>
  <si>
    <t xml:space="preserve">Impot sur les societes</t>
  </si>
  <si>
    <t xml:space="preserve">Interets emprunt</t>
  </si>
  <si>
    <t xml:space="preserve">Remboursement capital emprunt</t>
  </si>
  <si>
    <t xml:space="preserve">CASH-FLOW NET ANNUEL</t>
  </si>
  <si>
    <t xml:space="preserve">CASH-FLOW CUMULE (depuis mise en service, avant apport initial)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</si>
</sst>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%"/>
    <numFmt numFmtId="166" formatCode="#,##0;\(#,##0\);\-"/>
    <numFmt numFmtId="167" formatCode="#,##0;\(#,##0\);\-"/>
    <numFmt numFmtId="168" formatCode="#,##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i val="true"/>
      <sz val="11"/>
      <color rgb="FF1F4E5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5F"/>
        <bgColor rgb="FF555555"/>
      </patternFill>
    </fill>
    <fill>
      <patternFill patternType="solid">
        <fgColor rgb="FFD9E7EC"/>
        <bgColor rgb="FFD9D9D9"/>
      </patternFill>
    </fill>
    <fill>
      <patternFill patternType="solid">
        <fgColor rgb="FFEFEFEF"/>
        <bgColor rgb="FFD9E7EC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double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8" fontId="12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6" fontId="6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78787"/>
      <rgbColor rgb="FF9999FF"/>
      <rgbColor rgb="FFC0504D"/>
      <rgbColor rgb="FFEFEFEF"/>
      <rgbColor rgb="FFD9E7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777777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 et EBITDA (k EUR) - Annees 1 a 7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'Synthese KPI'!B26</c:f>
              <c:strCache>
                <c:ptCount val="1"/>
                <c:pt idx="0">
                  <c:v>CA total (k EUR)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'Synthese KPI'!$C$25:$I$25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'Synthese KPI'!$C$26:$I$26</c:f>
              <c:numCache>
                <c:formatCode>#,##0</c:formatCode>
                <c:ptCount val="7"/>
                <c:pt idx="0">
                  <c:v>149.5186</c:v>
                </c:pt>
                <c:pt idx="1">
                  <c:v>202.356</c:v>
                </c:pt>
                <c:pt idx="2">
                  <c:v>454.45785</c:v>
                </c:pt>
                <c:pt idx="3">
                  <c:v>509.93712</c:v>
                </c:pt>
                <c:pt idx="4">
                  <c:v>814.76395</c:v>
                </c:pt>
                <c:pt idx="5">
                  <c:v>836.68585</c:v>
                </c:pt>
                <c:pt idx="6">
                  <c:v>1034.71368</c:v>
                </c:pt>
              </c:numCache>
            </c:numRef>
          </c:val>
        </c:ser>
        <c:ser>
          <c:idx val="1"/>
          <c:order val="1"/>
          <c:tx>
            <c:strRef>
              <c:f>'Synthese KPI'!B27</c:f>
              <c:strCache>
                <c:ptCount val="1"/>
                <c:pt idx="0">
                  <c:v>EBITDA (k EUR)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'Synthese KPI'!$C$25:$I$25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'Synthese KPI'!$C$27:$I$27</c:f>
              <c:numCache>
                <c:formatCode>#,##0</c:formatCode>
                <c:ptCount val="7"/>
                <c:pt idx="0">
                  <c:v>60.1443218</c:v>
                </c:pt>
                <c:pt idx="1">
                  <c:v>92.749428</c:v>
                </c:pt>
                <c:pt idx="2">
                  <c:v>241.34471705</c:v>
                </c:pt>
                <c:pt idx="3">
                  <c:v>275.10440496</c:v>
                </c:pt>
                <c:pt idx="4">
                  <c:v>447.914560686</c:v>
                </c:pt>
                <c:pt idx="5">
                  <c:v>459.34800315944</c:v>
                </c:pt>
                <c:pt idx="6">
                  <c:v>570.071773245158</c:v>
                </c:pt>
              </c:numCache>
            </c:numRef>
          </c:val>
        </c:ser>
        <c:gapWidth val="150"/>
        <c:overlap val="0"/>
        <c:axId val="92273214"/>
        <c:axId val="60317183"/>
      </c:barChart>
      <c:catAx>
        <c:axId val="922732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Annee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317183"/>
        <c:crosses val="autoZero"/>
        <c:auto val="1"/>
        <c:lblAlgn val="ctr"/>
        <c:lblOffset val="100"/>
        <c:noMultiLvlLbl val="0"/>
      </c:catAx>
      <c:valAx>
        <c:axId val="603171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 EUR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2732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29</xdr:row>
      <xdr:rowOff>0</xdr:rowOff>
    </xdr:from>
    <xdr:to>
      <xdr:col>7</xdr:col>
      <xdr:colOff>360360</xdr:colOff>
      <xdr:row>47</xdr:row>
      <xdr:rowOff>168480</xdr:rowOff>
    </xdr:to>
    <xdr:graphicFrame>
      <xdr:nvGraphicFramePr>
        <xdr:cNvPr id="0" name="Chart 1"/>
        <xdr:cNvGraphicFramePr/>
      </xdr:nvGraphicFramePr>
      <xdr:xfrm>
        <a:off x="211320" y="5695920"/>
        <a:ext cx="7197480" cy="359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9" min="3" style="1" width="11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</row>
    <row r="6" customFormat="false" ht="15" hidden="false" customHeight="true" outlineLevel="0" collapsed="false">
      <c r="B6" s="6" t="s">
        <v>10</v>
      </c>
      <c r="C6" s="7" t="n">
        <f aca="false">Hypotheses!C11</f>
        <v>0.35</v>
      </c>
      <c r="D6" s="7" t="n">
        <f aca="false">Hypotheses!D11</f>
        <v>0.45</v>
      </c>
      <c r="E6" s="7" t="n">
        <f aca="false">Hypotheses!E11</f>
        <v>0.55</v>
      </c>
      <c r="F6" s="7" t="n">
        <f aca="false">Hypotheses!F11</f>
        <v>0.6</v>
      </c>
      <c r="G6" s="7" t="n">
        <f aca="false">Hypotheses!G11</f>
        <v>0.65</v>
      </c>
      <c r="H6" s="7" t="n">
        <f aca="false">Hypotheses!H11</f>
        <v>0.65</v>
      </c>
      <c r="I6" s="7" t="n">
        <f aca="false">Hypotheses!I11</f>
        <v>0.65</v>
      </c>
    </row>
    <row r="7" customFormat="false" ht="15" hidden="false" customHeight="true" outlineLevel="0" collapsed="false">
      <c r="B7" s="6" t="s">
        <v>11</v>
      </c>
      <c r="C7" s="8" t="n">
        <f aca="false">Hypotheses!C10</f>
        <v>190</v>
      </c>
      <c r="D7" s="8" t="n">
        <f aca="false">Hypotheses!D10</f>
        <v>200</v>
      </c>
      <c r="E7" s="8" t="n">
        <f aca="false">Hypotheses!E10</f>
        <v>210</v>
      </c>
      <c r="F7" s="8" t="n">
        <f aca="false">Hypotheses!F10</f>
        <v>216</v>
      </c>
      <c r="G7" s="8" t="n">
        <f aca="false">Hypotheses!G10</f>
        <v>223</v>
      </c>
      <c r="H7" s="8" t="n">
        <f aca="false">Hypotheses!H10</f>
        <v>229</v>
      </c>
      <c r="I7" s="8" t="n">
        <f aca="false">Hypotheses!I10</f>
        <v>236</v>
      </c>
    </row>
    <row r="8" customFormat="false" ht="15" hidden="false" customHeight="true" outlineLevel="0" collapsed="false">
      <c r="B8" s="6" t="s">
        <v>12</v>
      </c>
      <c r="C8" s="9" t="n">
        <f aca="false">'Scenario Rachat'!C40/('Scenario Rachat'!C33*Hypotheses!$C$6)</f>
        <v>66.5</v>
      </c>
      <c r="D8" s="9" t="n">
        <f aca="false">'Scenario Rachat'!D40/('Scenario Rachat'!D33*Hypotheses!$C$6)</f>
        <v>90</v>
      </c>
      <c r="E8" s="9" t="n">
        <f aca="false">'Scenario Rachat'!E40/('Scenario Rachat'!E33*Hypotheses!$C$6)</f>
        <v>115.5</v>
      </c>
      <c r="F8" s="9" t="n">
        <f aca="false">'Scenario Rachat'!F40/('Scenario Rachat'!F33*Hypotheses!$C$6)</f>
        <v>129.6</v>
      </c>
      <c r="G8" s="9" t="n">
        <f aca="false">'Scenario Rachat'!G40/('Scenario Rachat'!G33*Hypotheses!$C$6)</f>
        <v>144.95</v>
      </c>
      <c r="H8" s="9" t="n">
        <f aca="false">'Scenario Rachat'!H40/('Scenario Rachat'!H33*Hypotheses!$C$6)</f>
        <v>148.85</v>
      </c>
      <c r="I8" s="9" t="n">
        <f aca="false">'Scenario Rachat'!I40/('Scenario Rachat'!I33*Hypotheses!$C$6)</f>
        <v>153.4</v>
      </c>
    </row>
    <row r="10" customFormat="false" ht="15" hidden="false" customHeight="true" outlineLevel="0" collapsed="false">
      <c r="A10" s="4" t="s">
        <v>13</v>
      </c>
      <c r="B10" s="4"/>
      <c r="C10" s="4"/>
      <c r="D10" s="4"/>
      <c r="E10" s="4"/>
      <c r="F10" s="4"/>
      <c r="G10" s="4"/>
      <c r="H10" s="4"/>
      <c r="I10" s="4"/>
    </row>
    <row r="11" customFormat="false" ht="15" hidden="false" customHeight="true" outlineLevel="0" collapsed="false">
      <c r="C11" s="5" t="s">
        <v>3</v>
      </c>
      <c r="D11" s="5" t="s">
        <v>4</v>
      </c>
      <c r="E11" s="5" t="s">
        <v>5</v>
      </c>
      <c r="F11" s="5" t="s">
        <v>6</v>
      </c>
      <c r="G11" s="5" t="s">
        <v>7</v>
      </c>
      <c r="H11" s="5" t="s">
        <v>8</v>
      </c>
      <c r="I11" s="5" t="s">
        <v>9</v>
      </c>
    </row>
    <row r="12" customFormat="false" ht="15" hidden="false" customHeight="true" outlineLevel="0" collapsed="false">
      <c r="B12" s="6" t="s">
        <v>14</v>
      </c>
      <c r="C12" s="10" t="n">
        <f aca="false">'Scenario Rachat'!C42</f>
        <v>149518.6</v>
      </c>
      <c r="D12" s="10" t="n">
        <f aca="false">'Scenario Rachat'!D42</f>
        <v>202356</v>
      </c>
      <c r="E12" s="10" t="n">
        <f aca="false">'Scenario Rachat'!E42</f>
        <v>454457.85</v>
      </c>
      <c r="F12" s="10" t="n">
        <f aca="false">'Scenario Rachat'!F42</f>
        <v>509937.12</v>
      </c>
      <c r="G12" s="10" t="n">
        <f aca="false">'Scenario Rachat'!G42</f>
        <v>814763.95</v>
      </c>
      <c r="H12" s="10" t="n">
        <f aca="false">'Scenario Rachat'!H42</f>
        <v>836685.85</v>
      </c>
      <c r="I12" s="10" t="n">
        <f aca="false">'Scenario Rachat'!I42</f>
        <v>1034713.68</v>
      </c>
    </row>
    <row r="13" customFormat="false" ht="15" hidden="false" customHeight="true" outlineLevel="0" collapsed="false">
      <c r="B13" s="6" t="s">
        <v>15</v>
      </c>
      <c r="C13" s="10" t="n">
        <f aca="false">'Scenario Rachat'!C52</f>
        <v>60144.3218</v>
      </c>
      <c r="D13" s="10" t="n">
        <f aca="false">'Scenario Rachat'!D52</f>
        <v>92749.428</v>
      </c>
      <c r="E13" s="10" t="n">
        <f aca="false">'Scenario Rachat'!E52</f>
        <v>241344.71705</v>
      </c>
      <c r="F13" s="10" t="n">
        <f aca="false">'Scenario Rachat'!F52</f>
        <v>275104.40496</v>
      </c>
      <c r="G13" s="10" t="n">
        <f aca="false">'Scenario Rachat'!G52</f>
        <v>447914.560686</v>
      </c>
      <c r="H13" s="10" t="n">
        <f aca="false">'Scenario Rachat'!H52</f>
        <v>459348.00315944</v>
      </c>
      <c r="I13" s="10" t="n">
        <f aca="false">'Scenario Rachat'!I52</f>
        <v>570071.773245158</v>
      </c>
    </row>
    <row r="14" customFormat="false" ht="15" hidden="false" customHeight="true" outlineLevel="0" collapsed="false">
      <c r="B14" s="6" t="s">
        <v>16</v>
      </c>
      <c r="C14" s="7" t="n">
        <f aca="false">C13/C12</f>
        <v>0.402253109646559</v>
      </c>
      <c r="D14" s="7" t="n">
        <f aca="false">D13/D12</f>
        <v>0.458347802882049</v>
      </c>
      <c r="E14" s="7" t="n">
        <f aca="false">E13/E12</f>
        <v>0.53106072884427</v>
      </c>
      <c r="F14" s="7" t="n">
        <f aca="false">F13/F12</f>
        <v>0.539486917445821</v>
      </c>
      <c r="G14" s="7" t="n">
        <f aca="false">G13/G12</f>
        <v>0.549747642474854</v>
      </c>
      <c r="H14" s="7" t="n">
        <f aca="false">H13/H12</f>
        <v>0.549008929886217</v>
      </c>
      <c r="I14" s="7" t="n">
        <f aca="false">I13/I12</f>
        <v>0.550946396345275</v>
      </c>
    </row>
    <row r="15" customFormat="false" ht="15" hidden="false" customHeight="true" outlineLevel="0" collapsed="false">
      <c r="B15" s="6" t="s">
        <v>17</v>
      </c>
      <c r="C15" s="11" t="n">
        <f aca="false">'Scenario Rachat'!C67</f>
        <v>3900.46721777778</v>
      </c>
      <c r="D15" s="11" t="n">
        <f aca="false">'Scenario Rachat'!D67</f>
        <v>13151.5313805253</v>
      </c>
      <c r="E15" s="11" t="n">
        <f aca="false">'Scenario Rachat'!E67</f>
        <v>107139.068596812</v>
      </c>
      <c r="F15" s="11" t="n">
        <f aca="false">'Scenario Rachat'!F67</f>
        <v>120182.529515987</v>
      </c>
      <c r="G15" s="11" t="n">
        <f aca="false">'Scenario Rachat'!G67</f>
        <v>236428.836315634</v>
      </c>
      <c r="H15" s="11" t="n">
        <f aca="false">'Scenario Rachat'!H67</f>
        <v>240646.882846313</v>
      </c>
      <c r="I15" s="11" t="n">
        <f aca="false">'Scenario Rachat'!I67</f>
        <v>324258.320630431</v>
      </c>
    </row>
    <row r="17" customFormat="false" ht="15" hidden="false" customHeight="true" outlineLevel="0" collapsed="false">
      <c r="A17" s="4" t="s">
        <v>18</v>
      </c>
      <c r="B17" s="4"/>
      <c r="C17" s="4"/>
      <c r="D17" s="4"/>
      <c r="E17" s="4"/>
      <c r="F17" s="4"/>
      <c r="G17" s="4"/>
      <c r="H17" s="4"/>
      <c r="I17" s="4"/>
    </row>
    <row r="18" customFormat="false" ht="15" hidden="false" customHeight="true" outlineLevel="0" collapsed="false">
      <c r="B18" s="6" t="s">
        <v>19</v>
      </c>
      <c r="C18" s="10" t="n">
        <f aca="false">'Scenario Rachat'!C21</f>
        <v>1047274.66666667</v>
      </c>
    </row>
    <row r="19" customFormat="false" ht="15" hidden="false" customHeight="true" outlineLevel="0" collapsed="false">
      <c r="B19" s="6" t="s">
        <v>20</v>
      </c>
      <c r="C19" s="9" t="n">
        <f aca="false">'Scenario Rachat'!C28</f>
        <v>680728.533333333</v>
      </c>
    </row>
    <row r="20" customFormat="false" ht="15" hidden="false" customHeight="true" outlineLevel="0" collapsed="false">
      <c r="B20" s="6" t="s">
        <v>21</v>
      </c>
      <c r="C20" s="9" t="n">
        <f aca="false">'Scenario Rachat'!C29</f>
        <v>366546.133333333</v>
      </c>
    </row>
    <row r="21" customFormat="false" ht="15" hidden="false" customHeight="true" outlineLevel="0" collapsed="false">
      <c r="B21" s="6" t="s">
        <v>22</v>
      </c>
      <c r="C21" s="11" t="n">
        <f aca="false">'Scenario Rachat'!I93</f>
        <v>-680057.360545819</v>
      </c>
    </row>
    <row r="25" customFormat="false" ht="15" hidden="false" customHeight="true" outlineLevel="0" collapsed="false">
      <c r="B25" s="12" t="s">
        <v>23</v>
      </c>
      <c r="C25" s="13" t="n">
        <v>1</v>
      </c>
      <c r="D25" s="13" t="n">
        <v>2</v>
      </c>
      <c r="E25" s="13" t="n">
        <v>3</v>
      </c>
      <c r="F25" s="13" t="n">
        <v>4</v>
      </c>
      <c r="G25" s="13" t="n">
        <v>5</v>
      </c>
      <c r="H25" s="13" t="n">
        <v>6</v>
      </c>
      <c r="I25" s="13" t="n">
        <v>7</v>
      </c>
    </row>
    <row r="26" customFormat="false" ht="15" hidden="false" customHeight="true" outlineLevel="0" collapsed="false">
      <c r="B26" s="6" t="s">
        <v>24</v>
      </c>
      <c r="C26" s="14" t="n">
        <f aca="false">C12/1000</f>
        <v>149.5186</v>
      </c>
      <c r="D26" s="14" t="n">
        <f aca="false">D12/1000</f>
        <v>202.356</v>
      </c>
      <c r="E26" s="14" t="n">
        <f aca="false">E12/1000</f>
        <v>454.45785</v>
      </c>
      <c r="F26" s="14" t="n">
        <f aca="false">F12/1000</f>
        <v>509.93712</v>
      </c>
      <c r="G26" s="14" t="n">
        <f aca="false">G12/1000</f>
        <v>814.76395</v>
      </c>
      <c r="H26" s="14" t="n">
        <f aca="false">H12/1000</f>
        <v>836.68585</v>
      </c>
      <c r="I26" s="14" t="n">
        <f aca="false">I12/1000</f>
        <v>1034.71368</v>
      </c>
    </row>
    <row r="27" customFormat="false" ht="15" hidden="false" customHeight="true" outlineLevel="0" collapsed="false">
      <c r="B27" s="6" t="s">
        <v>25</v>
      </c>
      <c r="C27" s="14" t="n">
        <f aca="false">C13/1000</f>
        <v>60.1443218</v>
      </c>
      <c r="D27" s="14" t="n">
        <f aca="false">D13/1000</f>
        <v>92.749428</v>
      </c>
      <c r="E27" s="14" t="n">
        <f aca="false">E13/1000</f>
        <v>241.34471705</v>
      </c>
      <c r="F27" s="14" t="n">
        <f aca="false">F13/1000</f>
        <v>275.10440496</v>
      </c>
      <c r="G27" s="14" t="n">
        <f aca="false">G13/1000</f>
        <v>447.914560686</v>
      </c>
      <c r="H27" s="14" t="n">
        <f aca="false">H13/1000</f>
        <v>459.34800315944</v>
      </c>
      <c r="I27" s="14" t="n">
        <f aca="false">I13/1000</f>
        <v>570.071773245158</v>
      </c>
    </row>
  </sheetData>
  <mergeCells count="5">
    <mergeCell ref="A1:I1"/>
    <mergeCell ref="A2:I2"/>
    <mergeCell ref="A4:I4"/>
    <mergeCell ref="A10:I10"/>
    <mergeCell ref="A17:I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9" min="3" style="1" width="11"/>
  </cols>
  <sheetData>
    <row r="1" customFormat="false" ht="25.5" hidden="false" customHeight="true" outlineLevel="0" collapsed="false">
      <c r="A1" s="2" t="s">
        <v>26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27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4" t="s">
        <v>28</v>
      </c>
      <c r="B4" s="4"/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B5" s="6" t="s">
        <v>29</v>
      </c>
      <c r="C5" s="15" t="n">
        <v>480000</v>
      </c>
    </row>
    <row r="6" customFormat="false" ht="15" hidden="false" customHeight="true" outlineLevel="0" collapsed="false">
      <c r="B6" s="6" t="s">
        <v>30</v>
      </c>
      <c r="C6" s="16" t="n">
        <v>0.08</v>
      </c>
    </row>
    <row r="7" customFormat="false" ht="15" hidden="false" customHeight="true" outlineLevel="0" collapsed="false">
      <c r="B7" s="6" t="s">
        <v>31</v>
      </c>
      <c r="C7" s="15" t="n">
        <v>45000</v>
      </c>
    </row>
    <row r="8" customFormat="false" ht="15" hidden="false" customHeight="true" outlineLevel="0" collapsed="false">
      <c r="B8" s="6" t="s">
        <v>32</v>
      </c>
      <c r="C8" s="15" t="n">
        <v>90000</v>
      </c>
    </row>
    <row r="9" customFormat="false" ht="15" hidden="false" customHeight="true" outlineLevel="0" collapsed="false">
      <c r="B9" s="6" t="s">
        <v>33</v>
      </c>
      <c r="C9" s="15" t="n">
        <v>65000</v>
      </c>
    </row>
    <row r="11" customFormat="false" ht="15" hidden="false" customHeight="true" outlineLevel="0" collapsed="false">
      <c r="A11" s="4" t="s">
        <v>34</v>
      </c>
      <c r="B11" s="4"/>
      <c r="C11" s="4"/>
      <c r="D11" s="4"/>
      <c r="E11" s="4"/>
      <c r="F11" s="4"/>
      <c r="G11" s="4"/>
      <c r="H11" s="4"/>
      <c r="I11" s="4"/>
    </row>
    <row r="12" customFormat="false" ht="34.5" hidden="false" customHeight="true" outlineLevel="0" collapsed="false">
      <c r="B12" s="17" t="s">
        <v>35</v>
      </c>
      <c r="C12" s="17" t="s">
        <v>36</v>
      </c>
      <c r="D12" s="17" t="s">
        <v>37</v>
      </c>
      <c r="E12" s="17" t="s">
        <v>38</v>
      </c>
      <c r="F12" s="17" t="s">
        <v>39</v>
      </c>
      <c r="G12" s="17" t="s">
        <v>40</v>
      </c>
      <c r="H12" s="17" t="s">
        <v>41</v>
      </c>
    </row>
    <row r="13" customFormat="false" ht="15" hidden="false" customHeight="true" outlineLevel="0" collapsed="false">
      <c r="B13" s="6" t="s">
        <v>42</v>
      </c>
      <c r="C13" s="18" t="n">
        <v>4</v>
      </c>
      <c r="D13" s="19" t="n">
        <v>1</v>
      </c>
      <c r="E13" s="20" t="n">
        <v>0</v>
      </c>
      <c r="F13" s="20" t="n">
        <v>0</v>
      </c>
      <c r="G13" s="21" t="n">
        <f aca="false">CAPEX!$C$26*C13/Hypotheses!$C$5</f>
        <v>81666.6666666667</v>
      </c>
      <c r="H13" s="22" t="n">
        <f aca="false">SUM(E13:G13)</f>
        <v>81666.6666666667</v>
      </c>
    </row>
    <row r="14" customFormat="false" ht="15" hidden="false" customHeight="true" outlineLevel="0" collapsed="false">
      <c r="B14" s="6" t="s">
        <v>43</v>
      </c>
      <c r="C14" s="18" t="n">
        <v>3</v>
      </c>
      <c r="D14" s="23" t="n">
        <v>3</v>
      </c>
      <c r="E14" s="21" t="n">
        <f aca="false">CAPEX!$C$14*C14</f>
        <v>450000</v>
      </c>
      <c r="F14" s="21" t="n">
        <f aca="false">CAPEX!$C$29*C14</f>
        <v>36000</v>
      </c>
      <c r="G14" s="21" t="n">
        <f aca="false">CAPEX!$C$26*C14/Hypotheses!$C$5</f>
        <v>61250</v>
      </c>
      <c r="H14" s="22" t="n">
        <f aca="false">SUM(E14:G14)</f>
        <v>547250</v>
      </c>
    </row>
    <row r="15" customFormat="false" ht="15" hidden="false" customHeight="true" outlineLevel="0" collapsed="false">
      <c r="B15" s="6" t="s">
        <v>44</v>
      </c>
      <c r="C15" s="18" t="n">
        <v>3</v>
      </c>
      <c r="D15" s="23" t="n">
        <v>5</v>
      </c>
      <c r="E15" s="21" t="n">
        <f aca="false">CAPEX!$C$14*C15</f>
        <v>450000</v>
      </c>
      <c r="F15" s="21" t="n">
        <f aca="false">CAPEX!$C$29*C15</f>
        <v>36000</v>
      </c>
      <c r="G15" s="21" t="n">
        <f aca="false">CAPEX!$C$26*C15/Hypotheses!$C$5</f>
        <v>61250</v>
      </c>
      <c r="H15" s="22" t="n">
        <f aca="false">SUM(E15:G15)</f>
        <v>547250</v>
      </c>
    </row>
    <row r="16" customFormat="false" ht="15" hidden="false" customHeight="true" outlineLevel="0" collapsed="false">
      <c r="B16" s="6" t="s">
        <v>45</v>
      </c>
      <c r="C16" s="18" t="n">
        <v>2</v>
      </c>
      <c r="D16" s="23" t="n">
        <v>7</v>
      </c>
      <c r="E16" s="21" t="n">
        <f aca="false">CAPEX!$C$14*C16</f>
        <v>300000</v>
      </c>
      <c r="F16" s="21" t="n">
        <f aca="false">CAPEX!$C$29*C16</f>
        <v>24000</v>
      </c>
      <c r="G16" s="21" t="n">
        <f aca="false">CAPEX!$C$26*C16/Hypotheses!$C$5</f>
        <v>40833.3333333333</v>
      </c>
      <c r="H16" s="22" t="n">
        <f aca="false">SUM(E16:G16)</f>
        <v>364833.333333333</v>
      </c>
    </row>
    <row r="17" customFormat="false" ht="15" hidden="false" customHeight="true" outlineLevel="0" collapsed="false">
      <c r="B17" s="6" t="s">
        <v>46</v>
      </c>
      <c r="C17" s="24" t="n">
        <f aca="false">C13+C14+C15+C16</f>
        <v>12</v>
      </c>
    </row>
    <row r="19" customFormat="false" ht="15" hidden="false" customHeight="true" outlineLevel="0" collapsed="false">
      <c r="B19" s="12" t="s">
        <v>47</v>
      </c>
      <c r="C19" s="25" t="n">
        <f aca="false">C5*(1+C6)+C7*C13+C8+C9+H13</f>
        <v>935066.666666667</v>
      </c>
    </row>
    <row r="20" customFormat="false" ht="15" hidden="false" customHeight="true" outlineLevel="0" collapsed="false">
      <c r="B20" s="6" t="s">
        <v>48</v>
      </c>
      <c r="C20" s="8" t="n">
        <f aca="false">C19*0.12</f>
        <v>112208</v>
      </c>
    </row>
    <row r="21" customFormat="false" ht="15" hidden="false" customHeight="true" outlineLevel="0" collapsed="false">
      <c r="B21" s="26" t="s">
        <v>49</v>
      </c>
      <c r="C21" s="27" t="n">
        <f aca="false">C19+C20</f>
        <v>1047274.66666667</v>
      </c>
    </row>
    <row r="23" customFormat="false" ht="15" hidden="false" customHeight="true" outlineLevel="0" collapsed="false">
      <c r="A23" s="4" t="s">
        <v>50</v>
      </c>
      <c r="B23" s="4"/>
      <c r="C23" s="4"/>
      <c r="D23" s="4"/>
      <c r="E23" s="4"/>
      <c r="F23" s="4"/>
      <c r="G23" s="4"/>
      <c r="H23" s="4"/>
      <c r="I23" s="4"/>
    </row>
    <row r="24" customFormat="false" ht="15" hidden="false" customHeight="true" outlineLevel="0" collapsed="false">
      <c r="B24" s="6" t="s">
        <v>51</v>
      </c>
      <c r="C24" s="16" t="n">
        <v>0.65</v>
      </c>
    </row>
    <row r="25" customFormat="false" ht="15" hidden="false" customHeight="true" outlineLevel="0" collapsed="false">
      <c r="B25" s="6" t="s">
        <v>52</v>
      </c>
      <c r="C25" s="16" t="n">
        <v>0.4</v>
      </c>
      <c r="D25" s="20" t="s">
        <v>53</v>
      </c>
    </row>
    <row r="26" customFormat="false" ht="15" hidden="false" customHeight="true" outlineLevel="0" collapsed="false">
      <c r="B26" s="6" t="s">
        <v>54</v>
      </c>
      <c r="C26" s="18" t="n">
        <v>5</v>
      </c>
    </row>
    <row r="28" customFormat="false" ht="15" hidden="false" customHeight="true" outlineLevel="0" collapsed="false">
      <c r="B28" s="6" t="s">
        <v>55</v>
      </c>
      <c r="C28" s="8" t="n">
        <f aca="false">C21*C24</f>
        <v>680728.533333333</v>
      </c>
    </row>
    <row r="29" customFormat="false" ht="15" hidden="false" customHeight="true" outlineLevel="0" collapsed="false">
      <c r="B29" s="6" t="s">
        <v>56</v>
      </c>
      <c r="C29" s="8" t="n">
        <f aca="false">C21*(1-C24)</f>
        <v>366546.133333333</v>
      </c>
    </row>
    <row r="31" customFormat="false" ht="15" hidden="false" customHeight="true" outlineLevel="0" collapsed="false">
      <c r="A31" s="4" t="s">
        <v>57</v>
      </c>
      <c r="B31" s="4"/>
      <c r="C31" s="4"/>
      <c r="D31" s="4"/>
      <c r="E31" s="4"/>
      <c r="F31" s="4"/>
      <c r="G31" s="4"/>
      <c r="H31" s="4"/>
      <c r="I31" s="4"/>
    </row>
    <row r="32" customFormat="false" ht="15" hidden="false" customHeight="true" outlineLevel="0" collapsed="false">
      <c r="C32" s="5" t="s">
        <v>3</v>
      </c>
      <c r="D32" s="5" t="s">
        <v>4</v>
      </c>
      <c r="E32" s="5" t="s">
        <v>5</v>
      </c>
      <c r="F32" s="5" t="s">
        <v>6</v>
      </c>
      <c r="G32" s="5" t="s">
        <v>7</v>
      </c>
      <c r="H32" s="5" t="s">
        <v>8</v>
      </c>
      <c r="I32" s="5" t="s">
        <v>9</v>
      </c>
    </row>
    <row r="33" customFormat="false" ht="15" hidden="false" customHeight="true" outlineLevel="0" collapsed="false">
      <c r="B33" s="6" t="s">
        <v>58</v>
      </c>
      <c r="C33" s="14" t="n">
        <f aca="false">C13+IF(1&gt;=$D$14,C14,0)+IF(1&gt;=$D$15,C15,0)+IF(1&gt;=$D$16,C16,0)</f>
        <v>4</v>
      </c>
      <c r="D33" s="14" t="n">
        <f aca="false">C13+IF(2&gt;=$D$14,C14,0)+IF(2&gt;=$D$15,C15,0)+IF(2&gt;=$D$16,C16,0)</f>
        <v>4</v>
      </c>
      <c r="E33" s="14" t="n">
        <f aca="false">C13+IF(3&gt;=$D$14,C14,0)+IF(3&gt;=$D$15,C15,0)+IF(3&gt;=$D$16,C16,0)</f>
        <v>7</v>
      </c>
      <c r="F33" s="14" t="n">
        <f aca="false">C13+IF(4&gt;=$D$14,C14,0)+IF(4&gt;=$D$15,C15,0)+IF(4&gt;=$D$16,C16,0)</f>
        <v>7</v>
      </c>
      <c r="G33" s="14" t="n">
        <f aca="false">C13+IF(5&gt;=$D$14,C14,0)+IF(5&gt;=$D$15,C15,0)+IF(5&gt;=$D$16,C16,0)</f>
        <v>10</v>
      </c>
      <c r="H33" s="14" t="n">
        <f aca="false">C13+IF(6&gt;=$D$14,C14,0)+IF(6&gt;=$D$15,C15,0)+IF(6&gt;=$D$16,C16,0)</f>
        <v>10</v>
      </c>
      <c r="I33" s="14" t="n">
        <f aca="false">C13+IF(7&gt;=$D$14,C14,0)+IF(7&gt;=$D$15,C15,0)+IF(7&gt;=$D$16,C16,0)</f>
        <v>12</v>
      </c>
    </row>
    <row r="34" customFormat="false" ht="15" hidden="false" customHeight="true" outlineLevel="0" collapsed="false">
      <c r="B34" s="6" t="s">
        <v>59</v>
      </c>
      <c r="C34" s="8" t="n">
        <f aca="false">IF(1=$D$14-1,$H$14,0)+IF(1=$D$15-1,$H$15,0)+IF(1=$D$16-1,$H$16,0)</f>
        <v>0</v>
      </c>
      <c r="D34" s="8" t="n">
        <f aca="false">IF(2=$D$14-1,$H$14,0)+IF(2=$D$15-1,$H$15,0)+IF(2=$D$16-1,$H$16,0)</f>
        <v>547250</v>
      </c>
      <c r="E34" s="8" t="n">
        <f aca="false">IF(3=$D$14-1,$H$14,0)+IF(3=$D$15-1,$H$15,0)+IF(3=$D$16-1,$H$16,0)</f>
        <v>0</v>
      </c>
      <c r="F34" s="8" t="n">
        <f aca="false">IF(4=$D$14-1,$H$14,0)+IF(4=$D$15-1,$H$15,0)+IF(4=$D$16-1,$H$16,0)</f>
        <v>547250</v>
      </c>
      <c r="G34" s="8" t="n">
        <f aca="false">IF(5=$D$14-1,$H$14,0)+IF(5=$D$15-1,$H$15,0)+IF(5=$D$16-1,$H$16,0)</f>
        <v>0</v>
      </c>
      <c r="H34" s="8" t="n">
        <f aca="false">IF(6=$D$14-1,$H$14,0)+IF(6=$D$15-1,$H$15,0)+IF(6=$D$16-1,$H$16,0)</f>
        <v>364833.333333333</v>
      </c>
      <c r="I34" s="8" t="n">
        <f aca="false">IF(7=$D$14-1,$H$14,0)+IF(7=$D$15-1,$H$15,0)+IF(7=$D$16-1,$H$16,0)</f>
        <v>0</v>
      </c>
    </row>
    <row r="35" customFormat="false" ht="15" hidden="false" customHeight="true" outlineLevel="0" collapsed="false">
      <c r="B35" s="6" t="s">
        <v>60</v>
      </c>
      <c r="C35" s="8" t="n">
        <f aca="false">C34*$C$25</f>
        <v>0</v>
      </c>
      <c r="D35" s="8" t="n">
        <f aca="false">D34*$C$25</f>
        <v>218900</v>
      </c>
      <c r="E35" s="8" t="n">
        <f aca="false">E34*$C$25</f>
        <v>0</v>
      </c>
      <c r="F35" s="8" t="n">
        <f aca="false">F34*$C$25</f>
        <v>218900</v>
      </c>
      <c r="G35" s="8" t="n">
        <f aca="false">G34*$C$25</f>
        <v>0</v>
      </c>
      <c r="H35" s="8" t="n">
        <f aca="false">H34*$C$25</f>
        <v>145933.333333333</v>
      </c>
      <c r="I35" s="8" t="n">
        <f aca="false">I34*$C$25</f>
        <v>0</v>
      </c>
    </row>
    <row r="36" customFormat="false" ht="15" hidden="false" customHeight="true" outlineLevel="0" collapsed="false">
      <c r="B36" s="6" t="s">
        <v>61</v>
      </c>
      <c r="C36" s="22" t="n">
        <f aca="false">C34-C35</f>
        <v>0</v>
      </c>
      <c r="D36" s="22" t="n">
        <f aca="false">D34-D35</f>
        <v>328350</v>
      </c>
      <c r="E36" s="22" t="n">
        <f aca="false">E34-E35</f>
        <v>0</v>
      </c>
      <c r="F36" s="22" t="n">
        <f aca="false">F34-F35</f>
        <v>328350</v>
      </c>
      <c r="G36" s="22" t="n">
        <f aca="false">G34-G35</f>
        <v>0</v>
      </c>
      <c r="H36" s="22" t="n">
        <f aca="false">H34-H35</f>
        <v>218900</v>
      </c>
      <c r="I36" s="22" t="n">
        <f aca="false">I34-I35</f>
        <v>0</v>
      </c>
    </row>
    <row r="38" customFormat="false" ht="15" hidden="false" customHeight="true" outlineLevel="0" collapsed="false">
      <c r="A38" s="4" t="s">
        <v>62</v>
      </c>
      <c r="B38" s="4"/>
      <c r="C38" s="4"/>
      <c r="D38" s="4"/>
      <c r="E38" s="4"/>
      <c r="F38" s="4"/>
      <c r="G38" s="4"/>
      <c r="H38" s="4"/>
      <c r="I38" s="4"/>
    </row>
    <row r="39" customFormat="false" ht="15" hidden="false" customHeight="true" outlineLevel="0" collapsed="false">
      <c r="C39" s="5" t="s">
        <v>3</v>
      </c>
      <c r="D39" s="5" t="s">
        <v>4</v>
      </c>
      <c r="E39" s="5" t="s">
        <v>5</v>
      </c>
      <c r="F39" s="5" t="s">
        <v>6</v>
      </c>
      <c r="G39" s="5" t="s">
        <v>7</v>
      </c>
      <c r="H39" s="5" t="s">
        <v>8</v>
      </c>
      <c r="I39" s="5" t="s">
        <v>9</v>
      </c>
    </row>
    <row r="40" customFormat="false" ht="15" hidden="false" customHeight="true" outlineLevel="0" collapsed="false">
      <c r="B40" s="6" t="s">
        <v>63</v>
      </c>
      <c r="C40" s="8" t="n">
        <f aca="false">C33*Hypotheses!$C$6*Hypotheses!C11*Hypotheses!C10</f>
        <v>97090</v>
      </c>
      <c r="D40" s="8" t="n">
        <f aca="false">D33*Hypotheses!$C$6*Hypotheses!D11*Hypotheses!D10</f>
        <v>131400</v>
      </c>
      <c r="E40" s="8" t="n">
        <f aca="false">E33*Hypotheses!$C$6*Hypotheses!E11*Hypotheses!E10</f>
        <v>295102.5</v>
      </c>
      <c r="F40" s="8" t="n">
        <f aca="false">F33*Hypotheses!$C$6*Hypotheses!F11*Hypotheses!F10</f>
        <v>331128</v>
      </c>
      <c r="G40" s="8" t="n">
        <f aca="false">G33*Hypotheses!$C$6*Hypotheses!G11*Hypotheses!G10</f>
        <v>529067.5</v>
      </c>
      <c r="H40" s="8" t="n">
        <f aca="false">H33*Hypotheses!$C$6*Hypotheses!H11*Hypotheses!H10</f>
        <v>543302.5</v>
      </c>
      <c r="I40" s="8" t="n">
        <f aca="false">I33*Hypotheses!$C$6*Hypotheses!I11*Hypotheses!I10</f>
        <v>671892</v>
      </c>
    </row>
    <row r="41" customFormat="false" ht="15" hidden="false" customHeight="true" outlineLevel="0" collapsed="false">
      <c r="B41" s="6" t="s">
        <v>64</v>
      </c>
      <c r="C41" s="8" t="n">
        <f aca="false">C40*(Hypotheses!$C$14+Hypotheses!$C$15)</f>
        <v>52428.6</v>
      </c>
      <c r="D41" s="8" t="n">
        <f aca="false">D40*(Hypotheses!$C$14+Hypotheses!$C$15)</f>
        <v>70956</v>
      </c>
      <c r="E41" s="8" t="n">
        <f aca="false">E40*(Hypotheses!$C$14+Hypotheses!$C$15)</f>
        <v>159355.35</v>
      </c>
      <c r="F41" s="8" t="n">
        <f aca="false">F40*(Hypotheses!$C$14+Hypotheses!$C$15)</f>
        <v>178809.12</v>
      </c>
      <c r="G41" s="8" t="n">
        <f aca="false">G40*(Hypotheses!$C$14+Hypotheses!$C$15)</f>
        <v>285696.45</v>
      </c>
      <c r="H41" s="8" t="n">
        <f aca="false">H40*(Hypotheses!$C$14+Hypotheses!$C$15)</f>
        <v>293383.35</v>
      </c>
      <c r="I41" s="8" t="n">
        <f aca="false">I40*(Hypotheses!$C$14+Hypotheses!$C$15)</f>
        <v>362821.68</v>
      </c>
    </row>
    <row r="42" customFormat="false" ht="15" hidden="false" customHeight="true" outlineLevel="0" collapsed="false">
      <c r="B42" s="12" t="s">
        <v>65</v>
      </c>
      <c r="C42" s="25" t="n">
        <f aca="false">C40+C41</f>
        <v>149518.6</v>
      </c>
      <c r="D42" s="25" t="n">
        <f aca="false">D40+D41</f>
        <v>202356</v>
      </c>
      <c r="E42" s="25" t="n">
        <f aca="false">E40+E41</f>
        <v>454457.85</v>
      </c>
      <c r="F42" s="25" t="n">
        <f aca="false">F40+F41</f>
        <v>509937.12</v>
      </c>
      <c r="G42" s="25" t="n">
        <f aca="false">G40+G41</f>
        <v>814763.95</v>
      </c>
      <c r="H42" s="25" t="n">
        <f aca="false">H40+H41</f>
        <v>836685.85</v>
      </c>
      <c r="I42" s="25" t="n">
        <f aca="false">I40+I41</f>
        <v>1034713.68</v>
      </c>
    </row>
    <row r="43" customFormat="false" ht="15" hidden="false" customHeight="true" outlineLevel="0" collapsed="false">
      <c r="B43" s="6" t="s">
        <v>66</v>
      </c>
      <c r="C43" s="8" t="n">
        <f aca="false">-C42*Hypotheses!$C$18</f>
        <v>-17942.232</v>
      </c>
      <c r="D43" s="8" t="n">
        <f aca="false">-D42*Hypotheses!$C$18</f>
        <v>-24282.72</v>
      </c>
      <c r="E43" s="8" t="n">
        <f aca="false">-E42*Hypotheses!$C$18</f>
        <v>-54534.942</v>
      </c>
      <c r="F43" s="8" t="n">
        <f aca="false">-F42*Hypotheses!$C$18</f>
        <v>-61192.4544</v>
      </c>
      <c r="G43" s="8" t="n">
        <f aca="false">-G42*Hypotheses!$C$18</f>
        <v>-97771.674</v>
      </c>
      <c r="H43" s="8" t="n">
        <f aca="false">-H42*Hypotheses!$C$18</f>
        <v>-100402.302</v>
      </c>
      <c r="I43" s="8" t="n">
        <f aca="false">-I42*Hypotheses!$C$18</f>
        <v>-124165.6416</v>
      </c>
    </row>
    <row r="44" customFormat="false" ht="15" hidden="false" customHeight="true" outlineLevel="0" collapsed="false">
      <c r="B44" s="12" t="s">
        <v>67</v>
      </c>
      <c r="C44" s="25" t="n">
        <f aca="false">C42+C43</f>
        <v>131576.368</v>
      </c>
      <c r="D44" s="25" t="n">
        <f aca="false">D42+D43</f>
        <v>178073.28</v>
      </c>
      <c r="E44" s="25" t="n">
        <f aca="false">E42+E43</f>
        <v>399922.908</v>
      </c>
      <c r="F44" s="25" t="n">
        <f aca="false">F42+F43</f>
        <v>448744.6656</v>
      </c>
      <c r="G44" s="25" t="n">
        <f aca="false">G42+G43</f>
        <v>716992.276</v>
      </c>
      <c r="H44" s="25" t="n">
        <f aca="false">H42+H43</f>
        <v>736283.548</v>
      </c>
      <c r="I44" s="25" t="n">
        <f aca="false">I42+I43</f>
        <v>910548.0384</v>
      </c>
    </row>
    <row r="46" customFormat="false" ht="15" hidden="false" customHeight="true" outlineLevel="0" collapsed="false">
      <c r="B46" s="6" t="s">
        <v>68</v>
      </c>
      <c r="C46" s="8" t="n">
        <f aca="false">-C41*Hypotheses!$C$19*0.6</f>
        <v>-10066.2912</v>
      </c>
      <c r="D46" s="8" t="n">
        <f aca="false">-D41*Hypotheses!$C$19*0.6</f>
        <v>-13623.552</v>
      </c>
      <c r="E46" s="8" t="n">
        <f aca="false">-E41*Hypotheses!$C$19*0.6</f>
        <v>-30596.2272</v>
      </c>
      <c r="F46" s="8" t="n">
        <f aca="false">-F41*Hypotheses!$C$19*0.6</f>
        <v>-34331.35104</v>
      </c>
      <c r="G46" s="8" t="n">
        <f aca="false">-G41*Hypotheses!$C$19*0.6</f>
        <v>-54853.7184</v>
      </c>
      <c r="H46" s="8" t="n">
        <f aca="false">-H41*Hypotheses!$C$19*0.6</f>
        <v>-56329.6032</v>
      </c>
      <c r="I46" s="8" t="n">
        <f aca="false">-I41*Hypotheses!$C$19*0.6</f>
        <v>-69661.76256</v>
      </c>
    </row>
    <row r="47" customFormat="false" ht="15" hidden="false" customHeight="true" outlineLevel="0" collapsed="false">
      <c r="B47" s="6" t="s">
        <v>69</v>
      </c>
      <c r="C47" s="8" t="n">
        <f aca="false">-MAX(ROUND(Hypotheses!$C$22*C33/Hypotheses!$C$5,0),8)*Hypotheses!$C$23*(1+Hypotheses!$C$24)^0</f>
        <v>-27200</v>
      </c>
      <c r="D47" s="8" t="n">
        <f aca="false">-MAX(ROUND(Hypotheses!$C$22*D33/Hypotheses!$C$5,0),8)*Hypotheses!$C$23*(1+Hypotheses!$C$24)^1</f>
        <v>-28288</v>
      </c>
      <c r="E47" s="8" t="n">
        <f aca="false">-MAX(ROUND(Hypotheses!$C$22*E33/Hypotheses!$C$5,0),8)*Hypotheses!$C$23*(1+Hypotheses!$C$24)^2</f>
        <v>-40451.84</v>
      </c>
      <c r="F47" s="8" t="n">
        <f aca="false">-MAX(ROUND(Hypotheses!$C$22*F33/Hypotheses!$C$5,0),8)*Hypotheses!$C$23*(1+Hypotheses!$C$24)^3</f>
        <v>-42069.9136</v>
      </c>
      <c r="G47" s="8" t="n">
        <f aca="false">-MAX(ROUND(Hypotheses!$C$22*G33/Hypotheses!$C$5,0),8)*Hypotheses!$C$23*(1+Hypotheses!$C$24)^4</f>
        <v>-63640.305664</v>
      </c>
      <c r="H47" s="8" t="n">
        <f aca="false">-MAX(ROUND(Hypotheses!$C$22*H33/Hypotheses!$C$5,0),8)*Hypotheses!$C$23*(1+Hypotheses!$C$24)^5</f>
        <v>-66185.91789056</v>
      </c>
      <c r="I47" s="8" t="n">
        <f aca="false">-MAX(ROUND(Hypotheses!$C$22*I33/Hypotheses!$C$5,0),8)*Hypotheses!$C$23*(1+Hypotheses!$C$24)^6</f>
        <v>-81739.6085948416</v>
      </c>
    </row>
    <row r="48" customFormat="false" ht="15" hidden="false" customHeight="true" outlineLevel="0" collapsed="false">
      <c r="B48" s="6" t="s">
        <v>70</v>
      </c>
      <c r="C48" s="8" t="n">
        <f aca="false">-Hypotheses!$C$33</f>
        <v>-8000</v>
      </c>
      <c r="D48" s="8" t="n">
        <f aca="false">-Hypotheses!$C$33</f>
        <v>-8000</v>
      </c>
      <c r="E48" s="8" t="n">
        <f aca="false">-Hypotheses!$C$33</f>
        <v>-8000</v>
      </c>
      <c r="F48" s="8" t="n">
        <f aca="false">-Hypotheses!$C$33</f>
        <v>-8000</v>
      </c>
      <c r="G48" s="8" t="n">
        <f aca="false">-Hypotheses!$C$33</f>
        <v>-8000</v>
      </c>
      <c r="H48" s="8" t="n">
        <f aca="false">-Hypotheses!$C$33</f>
        <v>-8000</v>
      </c>
      <c r="I48" s="8" t="n">
        <f aca="false">-Hypotheses!$C$33</f>
        <v>-8000</v>
      </c>
    </row>
    <row r="49" customFormat="false" ht="15" hidden="false" customHeight="true" outlineLevel="0" collapsed="false">
      <c r="B49" s="6" t="s">
        <v>71</v>
      </c>
      <c r="C49" s="8" t="n">
        <f aca="false">-C42*(Hypotheses!$C$27+Hypotheses!$C$28+Hypotheses!$C$29+Hypotheses!$C$30)</f>
        <v>-26165.755</v>
      </c>
      <c r="D49" s="8" t="n">
        <f aca="false">-D42*(Hypotheses!$C$27+Hypotheses!$C$28+Hypotheses!$C$29+Hypotheses!$C$30)</f>
        <v>-35412.3</v>
      </c>
      <c r="E49" s="8" t="n">
        <f aca="false">-E42*(Hypotheses!$C$27+Hypotheses!$C$28+Hypotheses!$C$29+Hypotheses!$C$30)</f>
        <v>-79530.12375</v>
      </c>
      <c r="F49" s="8" t="n">
        <f aca="false">-F42*(Hypotheses!$C$27+Hypotheses!$C$28+Hypotheses!$C$29+Hypotheses!$C$30)</f>
        <v>-89238.996</v>
      </c>
      <c r="G49" s="8" t="n">
        <f aca="false">-G42*(Hypotheses!$C$27+Hypotheses!$C$28+Hypotheses!$C$29+Hypotheses!$C$30)</f>
        <v>-142583.69125</v>
      </c>
      <c r="H49" s="8" t="n">
        <f aca="false">-H42*(Hypotheses!$C$27+Hypotheses!$C$28+Hypotheses!$C$29+Hypotheses!$C$30)</f>
        <v>-146420.02375</v>
      </c>
      <c r="I49" s="8" t="n">
        <f aca="false">-I42*(Hypotheses!$C$27+Hypotheses!$C$28+Hypotheses!$C$29+Hypotheses!$C$30)</f>
        <v>-181074.894</v>
      </c>
    </row>
    <row r="50" customFormat="false" ht="15" hidden="false" customHeight="true" outlineLevel="0" collapsed="false">
      <c r="B50" s="12" t="s">
        <v>72</v>
      </c>
      <c r="C50" s="25" t="n">
        <f aca="false">C46+C47+C48+C49</f>
        <v>-71432.0462</v>
      </c>
      <c r="D50" s="25" t="n">
        <f aca="false">D46+D47+D48+D49</f>
        <v>-85323.852</v>
      </c>
      <c r="E50" s="25" t="n">
        <f aca="false">E46+E47+E48+E49</f>
        <v>-158578.19095</v>
      </c>
      <c r="F50" s="25" t="n">
        <f aca="false">F46+F47+F48+F49</f>
        <v>-173640.26064</v>
      </c>
      <c r="G50" s="25" t="n">
        <f aca="false">G46+G47+G48+G49</f>
        <v>-269077.715314</v>
      </c>
      <c r="H50" s="25" t="n">
        <f aca="false">H46+H47+H48+H49</f>
        <v>-276935.54484056</v>
      </c>
      <c r="I50" s="25" t="n">
        <f aca="false">I46+I47+I48+I49</f>
        <v>-340476.265154842</v>
      </c>
    </row>
    <row r="52" customFormat="false" ht="15" hidden="false" customHeight="true" outlineLevel="0" collapsed="false">
      <c r="B52" s="28" t="s">
        <v>15</v>
      </c>
      <c r="C52" s="29" t="n">
        <f aca="false">C44+C50</f>
        <v>60144.3218</v>
      </c>
      <c r="D52" s="29" t="n">
        <f aca="false">D44+D50</f>
        <v>92749.428</v>
      </c>
      <c r="E52" s="29" t="n">
        <f aca="false">E44+E50</f>
        <v>241344.71705</v>
      </c>
      <c r="F52" s="29" t="n">
        <f aca="false">F44+F50</f>
        <v>275104.40496</v>
      </c>
      <c r="G52" s="29" t="n">
        <f aca="false">G44+G50</f>
        <v>447914.560686</v>
      </c>
      <c r="H52" s="29" t="n">
        <f aca="false">H44+H50</f>
        <v>459348.00315944</v>
      </c>
      <c r="I52" s="29" t="n">
        <f aca="false">I44+I50</f>
        <v>570071.773245158</v>
      </c>
    </row>
    <row r="54" customFormat="false" ht="15" hidden="false" customHeight="true" outlineLevel="0" collapsed="false">
      <c r="B54" s="6" t="s">
        <v>73</v>
      </c>
      <c r="C54" s="8" t="n">
        <f aca="false">-($C$19-C5*(1+C6))/Hypotheses!$C$37-IF(1&gt;=$D$14,$H$14/Hypotheses!$C$37,0)-IF(1&gt;=$D$15,$H$15/Hypotheses!$C$37,0)-IF(1&gt;=$D$16,$H$16/Hypotheses!$C$37,0)</f>
        <v>-27777.7777777778</v>
      </c>
      <c r="D54" s="8" t="n">
        <f aca="false">-($C$19-C5*(1+C6))/Hypotheses!$C$37-IF(2&gt;=$D$14,$H$14/Hypotheses!$C$37,0)-IF(2&gt;=$D$15,$H$15/Hypotheses!$C$37,0)-IF(2&gt;=$D$16,$H$16/Hypotheses!$C$37,0)</f>
        <v>-27777.7777777778</v>
      </c>
      <c r="E54" s="8" t="n">
        <f aca="false">-($C$19-C5*(1+C6))/Hypotheses!$C$37-IF(3&gt;=$D$14,$H$14/Hypotheses!$C$37,0)-IF(3&gt;=$D$15,$H$15/Hypotheses!$C$37,0)-IF(3&gt;=$D$16,$H$16/Hypotheses!$C$37,0)</f>
        <v>-64261.1111111111</v>
      </c>
      <c r="F54" s="8" t="n">
        <f aca="false">-($C$19-C5*(1+C6))/Hypotheses!$C$37-IF(4&gt;=$D$14,$H$14/Hypotheses!$C$37,0)-IF(4&gt;=$D$15,$H$15/Hypotheses!$C$37,0)-IF(4&gt;=$D$16,$H$16/Hypotheses!$C$37,0)</f>
        <v>-64261.1111111111</v>
      </c>
      <c r="G54" s="8" t="n">
        <f aca="false">-($C$19-C5*(1+C6))/Hypotheses!$C$37-IF(5&gt;=$D$14,$H$14/Hypotheses!$C$37,0)-IF(5&gt;=$D$15,$H$15/Hypotheses!$C$37,0)-IF(5&gt;=$D$16,$H$16/Hypotheses!$C$37,0)</f>
        <v>-100744.444444444</v>
      </c>
      <c r="H54" s="8" t="n">
        <f aca="false">-($C$19-C5*(1+C6))/Hypotheses!$C$37-IF(6&gt;=$D$14,$H$14/Hypotheses!$C$37,0)-IF(6&gt;=$D$15,$H$15/Hypotheses!$C$37,0)-IF(6&gt;=$D$16,$H$16/Hypotheses!$C$37,0)</f>
        <v>-100744.444444444</v>
      </c>
      <c r="I54" s="8" t="n">
        <f aca="false">-($C$19-C5*(1+C6))/Hypotheses!$C$37-IF(7&gt;=$D$14,$H$14/Hypotheses!$C$37,0)-IF(7&gt;=$D$15,$H$15/Hypotheses!$C$37,0)-IF(7&gt;=$D$16,$H$16/Hypotheses!$C$37,0)</f>
        <v>-125066.666666667</v>
      </c>
    </row>
    <row r="55" customFormat="false" ht="15" hidden="false" customHeight="true" outlineLevel="0" collapsed="false">
      <c r="B55" s="12" t="s">
        <v>74</v>
      </c>
      <c r="C55" s="25" t="n">
        <f aca="false">C52+C54</f>
        <v>32366.5440222222</v>
      </c>
      <c r="D55" s="25" t="n">
        <f aca="false">D52+D54</f>
        <v>64971.6502222222</v>
      </c>
      <c r="E55" s="25" t="n">
        <f aca="false">E52+E54</f>
        <v>177083.605938889</v>
      </c>
      <c r="F55" s="25" t="n">
        <f aca="false">F52+F54</f>
        <v>210843.293848889</v>
      </c>
      <c r="G55" s="25" t="n">
        <f aca="false">G52+G54</f>
        <v>347170.116241556</v>
      </c>
      <c r="H55" s="25" t="n">
        <f aca="false">H52+H54</f>
        <v>358603.558714996</v>
      </c>
      <c r="I55" s="25" t="n">
        <f aca="false">I52+I54</f>
        <v>445005.106578492</v>
      </c>
    </row>
    <row r="56" customFormat="false" ht="15" hidden="false" customHeight="true" outlineLevel="0" collapsed="false">
      <c r="B56" s="6" t="s">
        <v>75</v>
      </c>
      <c r="C56" s="8" t="n">
        <f aca="false">-C89</f>
        <v>-27490.96</v>
      </c>
      <c r="D56" s="8" t="n">
        <f aca="false">-D89</f>
        <v>-48532.2359965656</v>
      </c>
      <c r="E56" s="8" t="n">
        <f aca="false">-E89</f>
        <v>-43159.7701928736</v>
      </c>
      <c r="F56" s="8" t="n">
        <f aca="false">-F89</f>
        <v>-60615.1319539046</v>
      </c>
      <c r="G56" s="8" t="n">
        <f aca="false">-G89</f>
        <v>-51634.0708470131</v>
      </c>
      <c r="H56" s="8" t="n">
        <f aca="false">-H89</f>
        <v>-57794.9551571046</v>
      </c>
      <c r="I56" s="8" t="n">
        <f aca="false">-I89</f>
        <v>-39682.205790453</v>
      </c>
    </row>
    <row r="57" customFormat="false" ht="15" hidden="false" customHeight="true" outlineLevel="0" collapsed="false">
      <c r="B57" s="12" t="s">
        <v>76</v>
      </c>
      <c r="C57" s="25" t="n">
        <f aca="false">C55+C56</f>
        <v>4875.58402222223</v>
      </c>
      <c r="D57" s="25" t="n">
        <f aca="false">D55+D56</f>
        <v>16439.4142256567</v>
      </c>
      <c r="E57" s="25" t="n">
        <f aca="false">E55+E56</f>
        <v>133923.835746015</v>
      </c>
      <c r="F57" s="25" t="n">
        <f aca="false">F55+F56</f>
        <v>150228.161894984</v>
      </c>
      <c r="G57" s="25" t="n">
        <f aca="false">G55+G56</f>
        <v>295536.045394542</v>
      </c>
      <c r="H57" s="25" t="n">
        <f aca="false">H55+H56</f>
        <v>300808.603557891</v>
      </c>
      <c r="I57" s="25" t="n">
        <f aca="false">I55+I56</f>
        <v>405322.900788039</v>
      </c>
    </row>
    <row r="59" customFormat="false" ht="15" hidden="false" customHeight="true" outlineLevel="0" collapsed="false">
      <c r="A59" s="4" t="s">
        <v>77</v>
      </c>
      <c r="B59" s="4"/>
      <c r="C59" s="4"/>
      <c r="D59" s="4"/>
      <c r="E59" s="4"/>
      <c r="F59" s="4"/>
      <c r="G59" s="4"/>
      <c r="H59" s="4"/>
      <c r="I59" s="4"/>
    </row>
    <row r="60" customFormat="false" ht="15" hidden="false" customHeight="true" outlineLevel="0" collapsed="false">
      <c r="C60" s="5" t="s">
        <v>3</v>
      </c>
      <c r="D60" s="5" t="s">
        <v>4</v>
      </c>
      <c r="E60" s="5" t="s">
        <v>5</v>
      </c>
      <c r="F60" s="5" t="s">
        <v>6</v>
      </c>
      <c r="G60" s="5" t="s">
        <v>7</v>
      </c>
      <c r="H60" s="5" t="s">
        <v>8</v>
      </c>
      <c r="I60" s="5" t="s">
        <v>9</v>
      </c>
    </row>
    <row r="61" customFormat="false" ht="15" hidden="false" customHeight="true" outlineLevel="0" collapsed="false">
      <c r="B61" s="6" t="s">
        <v>78</v>
      </c>
      <c r="C61" s="8" t="n">
        <f aca="false">0</f>
        <v>0</v>
      </c>
      <c r="D61" s="8" t="n">
        <f aca="false">C65</f>
        <v>0</v>
      </c>
      <c r="E61" s="8" t="n">
        <f aca="false">D65</f>
        <v>0</v>
      </c>
      <c r="F61" s="8" t="n">
        <f aca="false">E65</f>
        <v>0</v>
      </c>
      <c r="G61" s="8" t="n">
        <f aca="false">F65</f>
        <v>0</v>
      </c>
      <c r="H61" s="8" t="n">
        <f aca="false">G65</f>
        <v>0</v>
      </c>
      <c r="I61" s="8" t="n">
        <f aca="false">H65</f>
        <v>0</v>
      </c>
    </row>
    <row r="62" customFormat="false" ht="15" hidden="false" customHeight="true" outlineLevel="0" collapsed="false">
      <c r="B62" s="6" t="s">
        <v>79</v>
      </c>
      <c r="C62" s="8" t="n">
        <f aca="false">MIN(MAX(C57,0),C61)</f>
        <v>0</v>
      </c>
      <c r="D62" s="8" t="n">
        <f aca="false">MIN(MAX(D57,0),D61)</f>
        <v>0</v>
      </c>
      <c r="E62" s="8" t="n">
        <f aca="false">MIN(MAX(E57,0),E61)</f>
        <v>0</v>
      </c>
      <c r="F62" s="8" t="n">
        <f aca="false">MIN(MAX(F57,0),F61)</f>
        <v>0</v>
      </c>
      <c r="G62" s="8" t="n">
        <f aca="false">MIN(MAX(G57,0),G61)</f>
        <v>0</v>
      </c>
      <c r="H62" s="8" t="n">
        <f aca="false">MIN(MAX(H57,0),H61)</f>
        <v>0</v>
      </c>
      <c r="I62" s="8" t="n">
        <f aca="false">MIN(MAX(I57,0),I61)</f>
        <v>0</v>
      </c>
    </row>
    <row r="63" customFormat="false" ht="15" hidden="false" customHeight="true" outlineLevel="0" collapsed="false">
      <c r="B63" s="6" t="s">
        <v>80</v>
      </c>
      <c r="C63" s="8" t="n">
        <f aca="false">MAX(C57,0)-C62</f>
        <v>4875.58402222223</v>
      </c>
      <c r="D63" s="8" t="n">
        <f aca="false">MAX(D57,0)-D62</f>
        <v>16439.4142256567</v>
      </c>
      <c r="E63" s="8" t="n">
        <f aca="false">MAX(E57,0)-E62</f>
        <v>133923.835746015</v>
      </c>
      <c r="F63" s="8" t="n">
        <f aca="false">MAX(F57,0)-F62</f>
        <v>150228.161894984</v>
      </c>
      <c r="G63" s="8" t="n">
        <f aca="false">MAX(G57,0)-G62</f>
        <v>295536.045394542</v>
      </c>
      <c r="H63" s="8" t="n">
        <f aca="false">MAX(H57,0)-H62</f>
        <v>300808.603557891</v>
      </c>
      <c r="I63" s="8" t="n">
        <f aca="false">MAX(I57,0)-I62</f>
        <v>405322.900788039</v>
      </c>
    </row>
    <row r="64" customFormat="false" ht="15" hidden="false" customHeight="true" outlineLevel="0" collapsed="false">
      <c r="B64" s="6" t="s">
        <v>81</v>
      </c>
      <c r="C64" s="22" t="n">
        <f aca="false">-C63*Hypotheses!$C$36</f>
        <v>-975.116804444445</v>
      </c>
      <c r="D64" s="22" t="n">
        <f aca="false">-D63*Hypotheses!$C$36</f>
        <v>-3287.88284513133</v>
      </c>
      <c r="E64" s="22" t="n">
        <f aca="false">-E63*Hypotheses!$C$36</f>
        <v>-26784.7671492031</v>
      </c>
      <c r="F64" s="22" t="n">
        <f aca="false">-F63*Hypotheses!$C$36</f>
        <v>-30045.6323789968</v>
      </c>
      <c r="G64" s="22" t="n">
        <f aca="false">-G63*Hypotheses!$C$36</f>
        <v>-59107.2090789085</v>
      </c>
      <c r="H64" s="22" t="n">
        <f aca="false">-H63*Hypotheses!$C$36</f>
        <v>-60161.7207115782</v>
      </c>
      <c r="I64" s="22" t="n">
        <f aca="false">-I63*Hypotheses!$C$36</f>
        <v>-81064.5801576078</v>
      </c>
    </row>
    <row r="65" customFormat="false" ht="15" hidden="false" customHeight="true" outlineLevel="0" collapsed="false">
      <c r="B65" s="6" t="s">
        <v>82</v>
      </c>
      <c r="C65" s="25" t="n">
        <f aca="false">MAX(C61-C62,0)+MAX(-C57,0)</f>
        <v>0</v>
      </c>
      <c r="D65" s="25" t="n">
        <f aca="false">MAX(D61-D62,0)+MAX(-D57,0)</f>
        <v>0</v>
      </c>
      <c r="E65" s="25" t="n">
        <f aca="false">MAX(E61-E62,0)+MAX(-E57,0)</f>
        <v>0</v>
      </c>
      <c r="F65" s="25" t="n">
        <f aca="false">MAX(F61-F62,0)+MAX(-F57,0)</f>
        <v>0</v>
      </c>
      <c r="G65" s="25" t="n">
        <f aca="false">MAX(G61-G62,0)+MAX(-G57,0)</f>
        <v>0</v>
      </c>
      <c r="H65" s="25" t="n">
        <f aca="false">MAX(H61-H62,0)+MAX(-H57,0)</f>
        <v>0</v>
      </c>
      <c r="I65" s="25" t="n">
        <f aca="false">MAX(I61-I62,0)+MAX(-I57,0)</f>
        <v>0</v>
      </c>
    </row>
    <row r="67" customFormat="false" ht="15" hidden="false" customHeight="true" outlineLevel="0" collapsed="false">
      <c r="B67" s="12" t="s">
        <v>83</v>
      </c>
      <c r="C67" s="30" t="n">
        <f aca="false">C57+C64</f>
        <v>3900.46721777778</v>
      </c>
      <c r="D67" s="30" t="n">
        <f aca="false">D57+D64</f>
        <v>13151.5313805253</v>
      </c>
      <c r="E67" s="30" t="n">
        <f aca="false">E57+E64</f>
        <v>107139.068596812</v>
      </c>
      <c r="F67" s="30" t="n">
        <f aca="false">F57+F64</f>
        <v>120182.529515987</v>
      </c>
      <c r="G67" s="30" t="n">
        <f aca="false">G57+G64</f>
        <v>236428.836315634</v>
      </c>
      <c r="H67" s="30" t="n">
        <f aca="false">H57+H64</f>
        <v>240646.882846313</v>
      </c>
      <c r="I67" s="30" t="n">
        <f aca="false">I57+I64</f>
        <v>324258.320630431</v>
      </c>
    </row>
    <row r="69" customFormat="false" ht="15" hidden="false" customHeight="true" outlineLevel="0" collapsed="false">
      <c r="A69" s="4" t="s">
        <v>84</v>
      </c>
      <c r="B69" s="4"/>
      <c r="C69" s="4"/>
      <c r="D69" s="4"/>
      <c r="E69" s="4"/>
      <c r="F69" s="4"/>
      <c r="G69" s="4"/>
      <c r="H69" s="4"/>
      <c r="I69" s="4"/>
    </row>
    <row r="70" customFormat="false" ht="15" hidden="false" customHeight="true" outlineLevel="0" collapsed="false">
      <c r="C70" s="5" t="s">
        <v>3</v>
      </c>
      <c r="D70" s="5" t="s">
        <v>4</v>
      </c>
      <c r="E70" s="5" t="s">
        <v>5</v>
      </c>
      <c r="F70" s="5" t="s">
        <v>6</v>
      </c>
      <c r="G70" s="5" t="s">
        <v>7</v>
      </c>
      <c r="H70" s="5" t="s">
        <v>8</v>
      </c>
      <c r="I70" s="5" t="s">
        <v>9</v>
      </c>
    </row>
    <row r="71" customFormat="false" ht="15" hidden="false" customHeight="true" outlineLevel="0" collapsed="false">
      <c r="B71" s="6" t="s">
        <v>85</v>
      </c>
      <c r="C71" s="8" t="n">
        <f aca="false">IF(0&lt;Hypotheses!$C$43,$C$29*Hypotheses!$C$42/(1-(1+Hypotheses!$C$42)^(-Hypotheses!$C$43)),0)</f>
        <v>53400.6133791258</v>
      </c>
      <c r="D71" s="8" t="n">
        <f aca="false">IF(1&lt;Hypotheses!$C$43,$C$29*Hypotheses!$C$42/(1-(1+Hypotheses!$C$42)^(-Hypotheses!$C$43)),0)</f>
        <v>53400.6133791258</v>
      </c>
      <c r="E71" s="8" t="n">
        <f aca="false">IF(2&lt;Hypotheses!$C$43,$C$29*Hypotheses!$C$42/(1-(1+Hypotheses!$C$42)^(-Hypotheses!$C$43)),0)</f>
        <v>53400.6133791258</v>
      </c>
      <c r="F71" s="8" t="n">
        <f aca="false">IF(3&lt;Hypotheses!$C$43,$C$29*Hypotheses!$C$42/(1-(1+Hypotheses!$C$42)^(-Hypotheses!$C$43)),0)</f>
        <v>53400.6133791258</v>
      </c>
      <c r="G71" s="8" t="n">
        <f aca="false">IF(4&lt;Hypotheses!$C$43,$C$29*Hypotheses!$C$42/(1-(1+Hypotheses!$C$42)^(-Hypotheses!$C$43)),0)</f>
        <v>53400.6133791258</v>
      </c>
      <c r="H71" s="8" t="n">
        <f aca="false">IF(5&lt;Hypotheses!$C$43,$C$29*Hypotheses!$C$42/(1-(1+Hypotheses!$C$42)^(-Hypotheses!$C$43)),0)</f>
        <v>53400.6133791258</v>
      </c>
      <c r="I71" s="8" t="n">
        <f aca="false">IF(6&lt;Hypotheses!$C$43,$C$29*Hypotheses!$C$42/(1-(1+Hypotheses!$C$42)^(-Hypotheses!$C$43)),0)</f>
        <v>53400.6133791258</v>
      </c>
    </row>
    <row r="72" customFormat="false" ht="15" hidden="false" customHeight="true" outlineLevel="0" collapsed="false">
      <c r="B72" s="6" t="s">
        <v>86</v>
      </c>
      <c r="C72" s="8" t="n">
        <f aca="false">$C$29</f>
        <v>366546.133333333</v>
      </c>
      <c r="D72" s="8" t="n">
        <f aca="false">C75</f>
        <v>340636.479954208</v>
      </c>
      <c r="E72" s="8" t="n">
        <f aca="false">D75</f>
        <v>312783.602571647</v>
      </c>
      <c r="F72" s="8" t="n">
        <f aca="false">E75</f>
        <v>282841.759385395</v>
      </c>
      <c r="G72" s="8" t="n">
        <f aca="false">F75</f>
        <v>250654.277960174</v>
      </c>
      <c r="H72" s="8" t="n">
        <f aca="false">G75</f>
        <v>216052.735428061</v>
      </c>
      <c r="I72" s="8" t="n">
        <f aca="false">H75</f>
        <v>178856.07720604</v>
      </c>
    </row>
    <row r="73" customFormat="false" ht="15" hidden="false" customHeight="true" outlineLevel="0" collapsed="false">
      <c r="B73" s="6" t="s">
        <v>87</v>
      </c>
      <c r="C73" s="8" t="n">
        <f aca="false">C72*Hypotheses!$C$42</f>
        <v>27490.96</v>
      </c>
      <c r="D73" s="8" t="n">
        <f aca="false">D72*Hypotheses!$C$42</f>
        <v>25547.7359965656</v>
      </c>
      <c r="E73" s="8" t="n">
        <f aca="false">E72*Hypotheses!$C$42</f>
        <v>23458.7701928736</v>
      </c>
      <c r="F73" s="8" t="n">
        <f aca="false">F72*Hypotheses!$C$42</f>
        <v>21213.1319539046</v>
      </c>
      <c r="G73" s="8" t="n">
        <f aca="false">G72*Hypotheses!$C$42</f>
        <v>18799.0708470131</v>
      </c>
      <c r="H73" s="8" t="n">
        <f aca="false">H72*Hypotheses!$C$42</f>
        <v>16203.9551571046</v>
      </c>
      <c r="I73" s="8" t="n">
        <f aca="false">I72*Hypotheses!$C$42</f>
        <v>13414.205790453</v>
      </c>
    </row>
    <row r="74" customFormat="false" ht="15" hidden="false" customHeight="true" outlineLevel="0" collapsed="false">
      <c r="B74" s="6" t="s">
        <v>88</v>
      </c>
      <c r="C74" s="8" t="n">
        <f aca="false">C71-C73</f>
        <v>25909.6533791258</v>
      </c>
      <c r="D74" s="8" t="n">
        <f aca="false">D71-D73</f>
        <v>27852.8773825602</v>
      </c>
      <c r="E74" s="8" t="n">
        <f aca="false">E71-E73</f>
        <v>29941.8431862522</v>
      </c>
      <c r="F74" s="8" t="n">
        <f aca="false">F71-F73</f>
        <v>32187.4814252211</v>
      </c>
      <c r="G74" s="8" t="n">
        <f aca="false">G71-G73</f>
        <v>34601.5425321127</v>
      </c>
      <c r="H74" s="8" t="n">
        <f aca="false">H71-H73</f>
        <v>37196.6582220212</v>
      </c>
      <c r="I74" s="8" t="n">
        <f aca="false">I71-I73</f>
        <v>39986.4075886727</v>
      </c>
    </row>
    <row r="75" customFormat="false" ht="15" hidden="false" customHeight="true" outlineLevel="0" collapsed="false">
      <c r="B75" s="6" t="s">
        <v>89</v>
      </c>
      <c r="C75" s="25" t="n">
        <f aca="false">MAX(C72-C74,0)</f>
        <v>340636.479954208</v>
      </c>
      <c r="D75" s="25" t="n">
        <f aca="false">MAX(D72-D74,0)</f>
        <v>312783.602571647</v>
      </c>
      <c r="E75" s="25" t="n">
        <f aca="false">MAX(E72-E74,0)</f>
        <v>282841.759385395</v>
      </c>
      <c r="F75" s="25" t="n">
        <f aca="false">MAX(F72-F74,0)</f>
        <v>250654.277960174</v>
      </c>
      <c r="G75" s="25" t="n">
        <f aca="false">MAX(G72-G74,0)</f>
        <v>216052.735428061</v>
      </c>
      <c r="H75" s="25" t="n">
        <f aca="false">MAX(H72-H74,0)</f>
        <v>178856.07720604</v>
      </c>
      <c r="I75" s="25" t="n">
        <f aca="false">MAX(I72-I74,0)</f>
        <v>138869.669617367</v>
      </c>
    </row>
    <row r="77" customFormat="false" ht="15" hidden="false" customHeight="true" outlineLevel="0" collapsed="false">
      <c r="B77" s="6" t="s">
        <v>90</v>
      </c>
      <c r="C77" s="8" t="n">
        <f aca="false">IF(OR(1&lt;$D$14-1,1&gt;=$D$14-1+$C$26),0,$H$14*$C$25-(1-$D$14-1)*$H$14*$C$25/$C$26)</f>
        <v>0</v>
      </c>
      <c r="D77" s="8" t="n">
        <f aca="false">IF(OR(2&lt;$D$14-1,2&gt;=$D$14-1+$C$26),0,$H$14*$C$25-(2-$D$14-1)*$H$14*$C$25/$C$26)</f>
        <v>306460</v>
      </c>
      <c r="E77" s="8" t="n">
        <f aca="false">IF(OR(3&lt;$D$14-1,3&gt;=$D$14-1+$C$26),0,$H$14*$C$25-(3-$D$14-1)*$H$14*$C$25/$C$26)</f>
        <v>262680</v>
      </c>
      <c r="F77" s="8" t="n">
        <f aca="false">IF(OR(4&lt;$D$14-1,4&gt;=$D$14-1+$C$26),0,$H$14*$C$25-(4-$D$14-1)*$H$14*$C$25/$C$26)</f>
        <v>218900</v>
      </c>
      <c r="G77" s="8" t="n">
        <f aca="false">IF(OR(5&lt;$D$14-1,5&gt;=$D$14-1+$C$26),0,$H$14*$C$25-(5-$D$14-1)*$H$14*$C$25/$C$26)</f>
        <v>175120</v>
      </c>
      <c r="H77" s="8" t="n">
        <f aca="false">IF(OR(6&lt;$D$14-1,6&gt;=$D$14-1+$C$26),0,$H$14*$C$25-(6-$D$14-1)*$H$14*$C$25/$C$26)</f>
        <v>131340</v>
      </c>
      <c r="I77" s="8" t="n">
        <f aca="false">IF(OR(7&lt;$D$14-1,7&gt;=$D$14-1+$C$26),0,$H$14*$C$25-(7-$D$14-1)*$H$14*$C$25/$C$26)</f>
        <v>0</v>
      </c>
    </row>
    <row r="78" customFormat="false" ht="15" hidden="false" customHeight="true" outlineLevel="0" collapsed="false">
      <c r="B78" s="6" t="s">
        <v>91</v>
      </c>
      <c r="C78" s="8" t="n">
        <f aca="false">C77*Hypotheses!$C$42</f>
        <v>0</v>
      </c>
      <c r="D78" s="8" t="n">
        <f aca="false">D77*Hypotheses!$C$42</f>
        <v>22984.5</v>
      </c>
      <c r="E78" s="8" t="n">
        <f aca="false">E77*Hypotheses!$C$42</f>
        <v>19701</v>
      </c>
      <c r="F78" s="8" t="n">
        <f aca="false">F77*Hypotheses!$C$42</f>
        <v>16417.5</v>
      </c>
      <c r="G78" s="8" t="n">
        <f aca="false">G77*Hypotheses!$C$42</f>
        <v>13134</v>
      </c>
      <c r="H78" s="8" t="n">
        <f aca="false">H77*Hypotheses!$C$42</f>
        <v>9850.5</v>
      </c>
      <c r="I78" s="8" t="n">
        <f aca="false">I77*Hypotheses!$C$42</f>
        <v>0</v>
      </c>
    </row>
    <row r="79" customFormat="false" ht="15" hidden="false" customHeight="true" outlineLevel="0" collapsed="false">
      <c r="B79" s="6" t="s">
        <v>92</v>
      </c>
      <c r="C79" s="8" t="n">
        <f aca="false">IF(AND(1&gt;=$D$14-1,1&lt;$D$14-1+$C$26),$H$14*$C$25/$C$26,0)</f>
        <v>0</v>
      </c>
      <c r="D79" s="8" t="n">
        <f aca="false">IF(AND(2&gt;=$D$14-1,2&lt;$D$14-1+$C$26),$H$14*$C$25/$C$26,0)</f>
        <v>43780</v>
      </c>
      <c r="E79" s="8" t="n">
        <f aca="false">IF(AND(3&gt;=$D$14-1,3&lt;$D$14-1+$C$26),$H$14*$C$25/$C$26,0)</f>
        <v>43780</v>
      </c>
      <c r="F79" s="8" t="n">
        <f aca="false">IF(AND(4&gt;=$D$14-1,4&lt;$D$14-1+$C$26),$H$14*$C$25/$C$26,0)</f>
        <v>43780</v>
      </c>
      <c r="G79" s="8" t="n">
        <f aca="false">IF(AND(5&gt;=$D$14-1,5&lt;$D$14-1+$C$26),$H$14*$C$25/$C$26,0)</f>
        <v>43780</v>
      </c>
      <c r="H79" s="8" t="n">
        <f aca="false">IF(AND(6&gt;=$D$14-1,6&lt;$D$14-1+$C$26),$H$14*$C$25/$C$26,0)</f>
        <v>43780</v>
      </c>
      <c r="I79" s="8" t="n">
        <f aca="false">IF(AND(7&gt;=$D$14-1,7&lt;$D$14-1+$C$26),$H$14*$C$25/$C$26,0)</f>
        <v>0</v>
      </c>
    </row>
    <row r="81" customFormat="false" ht="15" hidden="false" customHeight="true" outlineLevel="0" collapsed="false">
      <c r="B81" s="6" t="s">
        <v>93</v>
      </c>
      <c r="C81" s="8" t="n">
        <f aca="false">IF(OR(1&lt;$D$15-1,1&gt;=$D$15-1+$C$26),0,$H$15*$C$25-(1-$D$15-1)*$H$15*$C$25/$C$26)</f>
        <v>0</v>
      </c>
      <c r="D81" s="8" t="n">
        <f aca="false">IF(OR(2&lt;$D$15-1,2&gt;=$D$15-1+$C$26),0,$H$15*$C$25-(2-$D$15-1)*$H$15*$C$25/$C$26)</f>
        <v>0</v>
      </c>
      <c r="E81" s="8" t="n">
        <f aca="false">IF(OR(3&lt;$D$15-1,3&gt;=$D$15-1+$C$26),0,$H$15*$C$25-(3-$D$15-1)*$H$15*$C$25/$C$26)</f>
        <v>0</v>
      </c>
      <c r="F81" s="8" t="n">
        <f aca="false">IF(OR(4&lt;$D$15-1,4&gt;=$D$15-1+$C$26),0,$H$15*$C$25-(4-$D$15-1)*$H$15*$C$25/$C$26)</f>
        <v>306460</v>
      </c>
      <c r="G81" s="8" t="n">
        <f aca="false">IF(OR(5&lt;$D$15-1,5&gt;=$D$15-1+$C$26),0,$H$15*$C$25-(5-$D$15-1)*$H$15*$C$25/$C$26)</f>
        <v>262680</v>
      </c>
      <c r="H81" s="8" t="n">
        <f aca="false">IF(OR(6&lt;$D$15-1,6&gt;=$D$15-1+$C$26),0,$H$15*$C$25-(6-$D$15-1)*$H$15*$C$25/$C$26)</f>
        <v>218900</v>
      </c>
      <c r="I81" s="8" t="n">
        <f aca="false">IF(OR(7&lt;$D$15-1,7&gt;=$D$15-1+$C$26),0,$H$15*$C$25-(7-$D$15-1)*$H$15*$C$25/$C$26)</f>
        <v>175120</v>
      </c>
    </row>
    <row r="82" customFormat="false" ht="15" hidden="false" customHeight="true" outlineLevel="0" collapsed="false">
      <c r="B82" s="6" t="s">
        <v>94</v>
      </c>
      <c r="C82" s="8" t="n">
        <f aca="false">C81*Hypotheses!$C$42</f>
        <v>0</v>
      </c>
      <c r="D82" s="8" t="n">
        <f aca="false">D81*Hypotheses!$C$42</f>
        <v>0</v>
      </c>
      <c r="E82" s="8" t="n">
        <f aca="false">E81*Hypotheses!$C$42</f>
        <v>0</v>
      </c>
      <c r="F82" s="8" t="n">
        <f aca="false">F81*Hypotheses!$C$42</f>
        <v>22984.5</v>
      </c>
      <c r="G82" s="8" t="n">
        <f aca="false">G81*Hypotheses!$C$42</f>
        <v>19701</v>
      </c>
      <c r="H82" s="8" t="n">
        <f aca="false">H81*Hypotheses!$C$42</f>
        <v>16417.5</v>
      </c>
      <c r="I82" s="8" t="n">
        <f aca="false">I81*Hypotheses!$C$42</f>
        <v>13134</v>
      </c>
    </row>
    <row r="83" customFormat="false" ht="15" hidden="false" customHeight="true" outlineLevel="0" collapsed="false">
      <c r="B83" s="6" t="s">
        <v>95</v>
      </c>
      <c r="C83" s="8" t="n">
        <f aca="false">IF(AND(1&gt;=$D$15-1,1&lt;$D$15-1+$C$26),$H$15*$C$25/$C$26,0)</f>
        <v>0</v>
      </c>
      <c r="D83" s="8" t="n">
        <f aca="false">IF(AND(2&gt;=$D$15-1,2&lt;$D$15-1+$C$26),$H$15*$C$25/$C$26,0)</f>
        <v>0</v>
      </c>
      <c r="E83" s="8" t="n">
        <f aca="false">IF(AND(3&gt;=$D$15-1,3&lt;$D$15-1+$C$26),$H$15*$C$25/$C$26,0)</f>
        <v>0</v>
      </c>
      <c r="F83" s="8" t="n">
        <f aca="false">IF(AND(4&gt;=$D$15-1,4&lt;$D$15-1+$C$26),$H$15*$C$25/$C$26,0)</f>
        <v>43780</v>
      </c>
      <c r="G83" s="8" t="n">
        <f aca="false">IF(AND(5&gt;=$D$15-1,5&lt;$D$15-1+$C$26),$H$15*$C$25/$C$26,0)</f>
        <v>43780</v>
      </c>
      <c r="H83" s="8" t="n">
        <f aca="false">IF(AND(6&gt;=$D$15-1,6&lt;$D$15-1+$C$26),$H$15*$C$25/$C$26,0)</f>
        <v>43780</v>
      </c>
      <c r="I83" s="8" t="n">
        <f aca="false">IF(AND(7&gt;=$D$15-1,7&lt;$D$15-1+$C$26),$H$15*$C$25/$C$26,0)</f>
        <v>43780</v>
      </c>
    </row>
    <row r="85" customFormat="false" ht="15" hidden="false" customHeight="true" outlineLevel="0" collapsed="false">
      <c r="B85" s="6" t="s">
        <v>96</v>
      </c>
      <c r="C85" s="8" t="n">
        <f aca="false">IF(OR(1&lt;$D$16-1,1&gt;=$D$16-1+$C$26),0,$H$16*$C$25-(1-$D$16-1)*$H$16*$C$25/$C$26)</f>
        <v>0</v>
      </c>
      <c r="D85" s="8" t="n">
        <f aca="false">IF(OR(2&lt;$D$16-1,2&gt;=$D$16-1+$C$26),0,$H$16*$C$25-(2-$D$16-1)*$H$16*$C$25/$C$26)</f>
        <v>0</v>
      </c>
      <c r="E85" s="8" t="n">
        <f aca="false">IF(OR(3&lt;$D$16-1,3&gt;=$D$16-1+$C$26),0,$H$16*$C$25-(3-$D$16-1)*$H$16*$C$25/$C$26)</f>
        <v>0</v>
      </c>
      <c r="F85" s="8" t="n">
        <f aca="false">IF(OR(4&lt;$D$16-1,4&gt;=$D$16-1+$C$26),0,$H$16*$C$25-(4-$D$16-1)*$H$16*$C$25/$C$26)</f>
        <v>0</v>
      </c>
      <c r="G85" s="8" t="n">
        <f aca="false">IF(OR(5&lt;$D$16-1,5&gt;=$D$16-1+$C$26),0,$H$16*$C$25-(5-$D$16-1)*$H$16*$C$25/$C$26)</f>
        <v>0</v>
      </c>
      <c r="H85" s="8" t="n">
        <f aca="false">IF(OR(6&lt;$D$16-1,6&gt;=$D$16-1+$C$26),0,$H$16*$C$25-(6-$D$16-1)*$H$16*$C$25/$C$26)</f>
        <v>204306.666666667</v>
      </c>
      <c r="I85" s="8" t="n">
        <f aca="false">IF(OR(7&lt;$D$16-1,7&gt;=$D$16-1+$C$26),0,$H$16*$C$25-(7-$D$16-1)*$H$16*$C$25/$C$26)</f>
        <v>175120</v>
      </c>
    </row>
    <row r="86" customFormat="false" ht="15" hidden="false" customHeight="true" outlineLevel="0" collapsed="false">
      <c r="B86" s="6" t="s">
        <v>97</v>
      </c>
      <c r="C86" s="8" t="n">
        <f aca="false">C85*Hypotheses!$C$42</f>
        <v>0</v>
      </c>
      <c r="D86" s="8" t="n">
        <f aca="false">D85*Hypotheses!$C$42</f>
        <v>0</v>
      </c>
      <c r="E86" s="8" t="n">
        <f aca="false">E85*Hypotheses!$C$42</f>
        <v>0</v>
      </c>
      <c r="F86" s="8" t="n">
        <f aca="false">F85*Hypotheses!$C$42</f>
        <v>0</v>
      </c>
      <c r="G86" s="8" t="n">
        <f aca="false">G85*Hypotheses!$C$42</f>
        <v>0</v>
      </c>
      <c r="H86" s="8" t="n">
        <f aca="false">H85*Hypotheses!$C$42</f>
        <v>15323</v>
      </c>
      <c r="I86" s="8" t="n">
        <f aca="false">I85*Hypotheses!$C$42</f>
        <v>13134</v>
      </c>
    </row>
    <row r="87" customFormat="false" ht="15" hidden="false" customHeight="true" outlineLevel="0" collapsed="false">
      <c r="B87" s="6" t="s">
        <v>98</v>
      </c>
      <c r="C87" s="8" t="n">
        <f aca="false">IF(AND(1&gt;=$D$16-1,1&lt;$D$16-1+$C$26),$H$16*$C$25/$C$26,0)</f>
        <v>0</v>
      </c>
      <c r="D87" s="8" t="n">
        <f aca="false">IF(AND(2&gt;=$D$16-1,2&lt;$D$16-1+$C$26),$H$16*$C$25/$C$26,0)</f>
        <v>0</v>
      </c>
      <c r="E87" s="8" t="n">
        <f aca="false">IF(AND(3&gt;=$D$16-1,3&lt;$D$16-1+$C$26),$H$16*$C$25/$C$26,0)</f>
        <v>0</v>
      </c>
      <c r="F87" s="8" t="n">
        <f aca="false">IF(AND(4&gt;=$D$16-1,4&lt;$D$16-1+$C$26),$H$16*$C$25/$C$26,0)</f>
        <v>0</v>
      </c>
      <c r="G87" s="8" t="n">
        <f aca="false">IF(AND(5&gt;=$D$16-1,5&lt;$D$16-1+$C$26),$H$16*$C$25/$C$26,0)</f>
        <v>0</v>
      </c>
      <c r="H87" s="8" t="n">
        <f aca="false">IF(AND(6&gt;=$D$16-1,6&lt;$D$16-1+$C$26),$H$16*$C$25/$C$26,0)</f>
        <v>29186.6666666667</v>
      </c>
      <c r="I87" s="8" t="n">
        <f aca="false">IF(AND(7&gt;=$D$16-1,7&lt;$D$16-1+$C$26),$H$16*$C$25/$C$26,0)</f>
        <v>29186.6666666667</v>
      </c>
    </row>
    <row r="89" customFormat="false" ht="15" hidden="false" customHeight="true" outlineLevel="0" collapsed="false">
      <c r="B89" s="12" t="s">
        <v>99</v>
      </c>
      <c r="C89" s="22" t="n">
        <f aca="false">C73+C78+C82+C86</f>
        <v>27490.96</v>
      </c>
      <c r="D89" s="22" t="n">
        <f aca="false">D73+D78+D82+D86</f>
        <v>48532.2359965656</v>
      </c>
      <c r="E89" s="22" t="n">
        <f aca="false">E73+E78+E82+E86</f>
        <v>43159.7701928736</v>
      </c>
      <c r="F89" s="22" t="n">
        <f aca="false">F73+F78+F82+F86</f>
        <v>60615.1319539046</v>
      </c>
      <c r="G89" s="22" t="n">
        <f aca="false">G73+G78+G82+G86</f>
        <v>51634.0708470131</v>
      </c>
      <c r="H89" s="22" t="n">
        <f aca="false">H73+H78+H82+H86</f>
        <v>57794.9551571046</v>
      </c>
      <c r="I89" s="22" t="n">
        <f aca="false">I73+I78+I82+I86</f>
        <v>39682.205790453</v>
      </c>
    </row>
    <row r="90" customFormat="false" ht="15" hidden="false" customHeight="true" outlineLevel="0" collapsed="false">
      <c r="B90" s="12" t="s">
        <v>100</v>
      </c>
      <c r="C90" s="22" t="n">
        <f aca="false">C74+C79+C83+C87</f>
        <v>25909.6533791258</v>
      </c>
      <c r="D90" s="22" t="n">
        <f aca="false">D74+D79+D83+D87</f>
        <v>71632.8773825602</v>
      </c>
      <c r="E90" s="22" t="n">
        <f aca="false">E74+E79+E83+E87</f>
        <v>73721.8431862522</v>
      </c>
      <c r="F90" s="22" t="n">
        <f aca="false">F74+F79+F83+F87</f>
        <v>119747.481425221</v>
      </c>
      <c r="G90" s="22" t="n">
        <f aca="false">G74+G79+G83+G87</f>
        <v>122161.542532113</v>
      </c>
      <c r="H90" s="22" t="n">
        <f aca="false">H74+H79+H83+H87</f>
        <v>153943.324888688</v>
      </c>
      <c r="I90" s="22" t="n">
        <f aca="false">I74+I79+I83+I87</f>
        <v>112953.074255339</v>
      </c>
    </row>
    <row r="92" customFormat="false" ht="15" hidden="false" customHeight="true" outlineLevel="0" collapsed="false">
      <c r="B92" s="12" t="s">
        <v>101</v>
      </c>
      <c r="C92" s="25" t="n">
        <f aca="false">C52+C64-C89-C90-C36</f>
        <v>5768.5916164298</v>
      </c>
      <c r="D92" s="25" t="n">
        <f aca="false">D52+D64-D89-D90-D36</f>
        <v>-359053.568224257</v>
      </c>
      <c r="E92" s="25" t="n">
        <f aca="false">E52+E64-E89-E90-E36</f>
        <v>97678.3365216712</v>
      </c>
      <c r="F92" s="25" t="n">
        <f aca="false">F52+F64-F89-F90-F36</f>
        <v>-263653.840798123</v>
      </c>
      <c r="G92" s="25" t="n">
        <f aca="false">G52+G64-G89-G90-G36</f>
        <v>215011.738227966</v>
      </c>
      <c r="H92" s="25" t="n">
        <f aca="false">H52+H64-H89-H90-H36</f>
        <v>-31451.9975979306</v>
      </c>
      <c r="I92" s="25" t="n">
        <f aca="false">I52+I64-I89-I90-I36</f>
        <v>336371.913041758</v>
      </c>
    </row>
    <row r="93" customFormat="false" ht="15" hidden="false" customHeight="true" outlineLevel="0" collapsed="false">
      <c r="B93" s="6" t="s">
        <v>102</v>
      </c>
      <c r="C93" s="31" t="n">
        <f aca="false">-$C$28+C92</f>
        <v>-674959.941716904</v>
      </c>
      <c r="D93" s="31" t="n">
        <f aca="false">C93+D92</f>
        <v>-1034013.50994116</v>
      </c>
      <c r="E93" s="31" t="n">
        <f aca="false">D93+E92</f>
        <v>-936335.17341949</v>
      </c>
      <c r="F93" s="31" t="n">
        <f aca="false">E93+F92</f>
        <v>-1199989.01421761</v>
      </c>
      <c r="G93" s="31" t="n">
        <f aca="false">F93+G92</f>
        <v>-984977.275989646</v>
      </c>
      <c r="H93" s="31" t="n">
        <f aca="false">G93+H92</f>
        <v>-1016429.27358758</v>
      </c>
      <c r="I93" s="31" t="n">
        <f aca="false">H93+I92</f>
        <v>-680057.360545819</v>
      </c>
    </row>
  </sheetData>
  <mergeCells count="9">
    <mergeCell ref="A1:I1"/>
    <mergeCell ref="A2:I2"/>
    <mergeCell ref="A4:I4"/>
    <mergeCell ref="A11:I11"/>
    <mergeCell ref="A23:I23"/>
    <mergeCell ref="A31:I31"/>
    <mergeCell ref="A38:I38"/>
    <mergeCell ref="A59:I59"/>
    <mergeCell ref="A69:I6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10" min="3" style="1" width="12"/>
    <col collapsed="false" customWidth="true" hidden="false" outlineLevel="0" max="11" min="11" style="1" width="60"/>
  </cols>
  <sheetData>
    <row r="1" customFormat="false" ht="25.5" hidden="false" customHeight="true" outlineLevel="0" collapsed="false">
      <c r="A1" s="2" t="s">
        <v>103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104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4" t="s">
        <v>105</v>
      </c>
      <c r="B4" s="4"/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B5" s="6" t="s">
        <v>106</v>
      </c>
      <c r="C5" s="32" t="n">
        <v>12</v>
      </c>
    </row>
    <row r="6" customFormat="false" ht="15" hidden="false" customHeight="true" outlineLevel="0" collapsed="false">
      <c r="B6" s="6" t="s">
        <v>107</v>
      </c>
      <c r="C6" s="33" t="n">
        <v>365</v>
      </c>
    </row>
    <row r="8" customFormat="false" ht="15" hidden="false" customHeight="true" outlineLevel="0" collapsed="false">
      <c r="A8" s="4" t="s">
        <v>108</v>
      </c>
      <c r="B8" s="4"/>
      <c r="C8" s="4"/>
      <c r="D8" s="4"/>
      <c r="E8" s="4"/>
      <c r="F8" s="4"/>
      <c r="G8" s="4"/>
      <c r="H8" s="4"/>
      <c r="I8" s="4"/>
    </row>
    <row r="9" customFormat="false" ht="15" hidden="false" customHeight="true" outlineLevel="0" collapsed="false">
      <c r="C9" s="5" t="s">
        <v>109</v>
      </c>
      <c r="D9" s="5" t="s">
        <v>110</v>
      </c>
      <c r="E9" s="5" t="s">
        <v>111</v>
      </c>
      <c r="F9" s="5" t="s">
        <v>112</v>
      </c>
      <c r="G9" s="5" t="s">
        <v>113</v>
      </c>
      <c r="H9" s="5" t="s">
        <v>114</v>
      </c>
      <c r="I9" s="5" t="s">
        <v>115</v>
      </c>
    </row>
    <row r="10" customFormat="false" ht="15" hidden="false" customHeight="true" outlineLevel="0" collapsed="false">
      <c r="B10" s="6" t="s">
        <v>116</v>
      </c>
      <c r="C10" s="15" t="n">
        <v>190</v>
      </c>
      <c r="D10" s="15" t="n">
        <v>200</v>
      </c>
      <c r="E10" s="15" t="n">
        <v>210</v>
      </c>
      <c r="F10" s="15" t="n">
        <v>216</v>
      </c>
      <c r="G10" s="15" t="n">
        <v>223</v>
      </c>
      <c r="H10" s="15" t="n">
        <v>229</v>
      </c>
      <c r="I10" s="15" t="n">
        <v>236</v>
      </c>
    </row>
    <row r="11" customFormat="false" ht="15" hidden="false" customHeight="true" outlineLevel="0" collapsed="false">
      <c r="B11" s="6" t="s">
        <v>117</v>
      </c>
      <c r="C11" s="16" t="n">
        <v>0.35</v>
      </c>
      <c r="D11" s="16" t="n">
        <v>0.45</v>
      </c>
      <c r="E11" s="16" t="n">
        <v>0.55</v>
      </c>
      <c r="F11" s="16" t="n">
        <v>0.6</v>
      </c>
      <c r="G11" s="16" t="n">
        <v>0.65</v>
      </c>
      <c r="H11" s="16" t="n">
        <v>0.65</v>
      </c>
      <c r="I11" s="16" t="n">
        <v>0.65</v>
      </c>
    </row>
    <row r="13" customFormat="false" ht="15" hidden="false" customHeight="true" outlineLevel="0" collapsed="false">
      <c r="A13" s="4" t="s">
        <v>118</v>
      </c>
      <c r="B13" s="4"/>
      <c r="C13" s="4"/>
      <c r="D13" s="4"/>
      <c r="E13" s="4"/>
      <c r="F13" s="4"/>
      <c r="G13" s="4"/>
      <c r="H13" s="4"/>
      <c r="I13" s="4"/>
    </row>
    <row r="14" customFormat="false" ht="15" hidden="false" customHeight="true" outlineLevel="0" collapsed="false">
      <c r="B14" s="6" t="s">
        <v>119</v>
      </c>
      <c r="C14" s="16" t="n">
        <v>0.38</v>
      </c>
    </row>
    <row r="15" customFormat="false" ht="15" hidden="false" customHeight="true" outlineLevel="0" collapsed="false">
      <c r="B15" s="6" t="s">
        <v>120</v>
      </c>
      <c r="C15" s="16" t="n">
        <v>0.16</v>
      </c>
    </row>
    <row r="17" customFormat="false" ht="15" hidden="false" customHeight="true" outlineLevel="0" collapsed="false">
      <c r="A17" s="4" t="s">
        <v>121</v>
      </c>
      <c r="B17" s="4"/>
      <c r="C17" s="4"/>
      <c r="D17" s="4"/>
      <c r="E17" s="4"/>
      <c r="F17" s="4"/>
      <c r="G17" s="4"/>
      <c r="H17" s="4"/>
      <c r="I17" s="4"/>
    </row>
    <row r="18" customFormat="false" ht="15" hidden="false" customHeight="true" outlineLevel="0" collapsed="false">
      <c r="B18" s="6" t="s">
        <v>122</v>
      </c>
      <c r="C18" s="16" t="n">
        <v>0.12</v>
      </c>
    </row>
    <row r="19" customFormat="false" ht="15" hidden="false" customHeight="true" outlineLevel="0" collapsed="false">
      <c r="B19" s="6" t="s">
        <v>123</v>
      </c>
      <c r="C19" s="16" t="n">
        <v>0.32</v>
      </c>
    </row>
    <row r="21" customFormat="false" ht="15" hidden="false" customHeight="true" outlineLevel="0" collapsed="false">
      <c r="A21" s="4" t="s">
        <v>124</v>
      </c>
      <c r="B21" s="4"/>
      <c r="C21" s="4"/>
      <c r="D21" s="4"/>
      <c r="E21" s="4"/>
      <c r="F21" s="4"/>
      <c r="G21" s="4"/>
      <c r="H21" s="4"/>
      <c r="I21" s="4"/>
    </row>
    <row r="22" customFormat="false" ht="15" hidden="false" customHeight="true" outlineLevel="0" collapsed="false">
      <c r="B22" s="6" t="s">
        <v>125</v>
      </c>
      <c r="C22" s="18" t="n">
        <v>19</v>
      </c>
    </row>
    <row r="23" customFormat="false" ht="15" hidden="false" customHeight="true" outlineLevel="0" collapsed="false">
      <c r="B23" s="6" t="s">
        <v>126</v>
      </c>
      <c r="C23" s="15" t="n">
        <v>3400</v>
      </c>
    </row>
    <row r="24" customFormat="false" ht="15" hidden="false" customHeight="true" outlineLevel="0" collapsed="false">
      <c r="B24" s="6" t="s">
        <v>127</v>
      </c>
      <c r="C24" s="16" t="n">
        <v>0.04</v>
      </c>
    </row>
    <row r="26" customFormat="false" ht="15" hidden="false" customHeight="true" outlineLevel="0" collapsed="false">
      <c r="A26" s="4" t="s">
        <v>128</v>
      </c>
      <c r="B26" s="4"/>
      <c r="C26" s="4"/>
      <c r="D26" s="4"/>
      <c r="E26" s="4"/>
      <c r="F26" s="4"/>
      <c r="G26" s="4"/>
      <c r="H26" s="4"/>
      <c r="I26" s="4"/>
    </row>
    <row r="27" customFormat="false" ht="15" hidden="false" customHeight="true" outlineLevel="0" collapsed="false">
      <c r="B27" s="6" t="s">
        <v>129</v>
      </c>
      <c r="C27" s="16" t="n">
        <v>0.06</v>
      </c>
    </row>
    <row r="28" customFormat="false" ht="15" hidden="false" customHeight="true" outlineLevel="0" collapsed="false">
      <c r="B28" s="6" t="s">
        <v>130</v>
      </c>
      <c r="C28" s="16" t="n">
        <v>0.025</v>
      </c>
    </row>
    <row r="29" customFormat="false" ht="15" hidden="false" customHeight="true" outlineLevel="0" collapsed="false">
      <c r="B29" s="6" t="s">
        <v>131</v>
      </c>
      <c r="C29" s="16" t="n">
        <v>0.05</v>
      </c>
    </row>
    <row r="30" customFormat="false" ht="15" hidden="false" customHeight="true" outlineLevel="0" collapsed="false">
      <c r="B30" s="6" t="s">
        <v>132</v>
      </c>
      <c r="C30" s="16" t="n">
        <v>0.04</v>
      </c>
    </row>
    <row r="32" customFormat="false" ht="15" hidden="false" customHeight="true" outlineLevel="0" collapsed="false">
      <c r="A32" s="4" t="s">
        <v>133</v>
      </c>
      <c r="B32" s="4"/>
      <c r="C32" s="4"/>
      <c r="D32" s="4"/>
      <c r="E32" s="4"/>
      <c r="F32" s="4"/>
      <c r="G32" s="4"/>
      <c r="H32" s="4"/>
      <c r="I32" s="4"/>
    </row>
    <row r="33" customFormat="false" ht="15" hidden="false" customHeight="true" outlineLevel="0" collapsed="false">
      <c r="B33" s="6" t="s">
        <v>134</v>
      </c>
      <c r="C33" s="15" t="n">
        <v>8000</v>
      </c>
    </row>
    <row r="35" customFormat="false" ht="15" hidden="false" customHeight="true" outlineLevel="0" collapsed="false">
      <c r="A35" s="4" t="s">
        <v>135</v>
      </c>
      <c r="B35" s="4"/>
      <c r="C35" s="4"/>
      <c r="D35" s="4"/>
      <c r="E35" s="4"/>
      <c r="F35" s="4"/>
      <c r="G35" s="4"/>
      <c r="H35" s="4"/>
      <c r="I35" s="4"/>
    </row>
    <row r="36" customFormat="false" ht="15" hidden="false" customHeight="true" outlineLevel="0" collapsed="false">
      <c r="B36" s="6" t="s">
        <v>136</v>
      </c>
      <c r="C36" s="16" t="n">
        <v>0.2</v>
      </c>
    </row>
    <row r="37" customFormat="false" ht="15" hidden="false" customHeight="true" outlineLevel="0" collapsed="false">
      <c r="B37" s="6" t="s">
        <v>137</v>
      </c>
      <c r="C37" s="18" t="n">
        <v>15</v>
      </c>
    </row>
    <row r="39" customFormat="false" ht="15" hidden="false" customHeight="true" outlineLevel="0" collapsed="false">
      <c r="A39" s="4" t="s">
        <v>138</v>
      </c>
      <c r="B39" s="4"/>
      <c r="C39" s="4"/>
      <c r="D39" s="4"/>
      <c r="E39" s="4"/>
      <c r="F39" s="4"/>
      <c r="G39" s="4"/>
      <c r="H39" s="4"/>
      <c r="I39" s="4"/>
    </row>
    <row r="40" customFormat="false" ht="15" hidden="false" customHeight="true" outlineLevel="0" collapsed="false">
      <c r="B40" s="6" t="s">
        <v>139</v>
      </c>
      <c r="C40" s="16" t="n">
        <v>0.45</v>
      </c>
    </row>
    <row r="41" customFormat="false" ht="15" hidden="false" customHeight="true" outlineLevel="0" collapsed="false">
      <c r="B41" s="6" t="s">
        <v>140</v>
      </c>
      <c r="C41" s="7" t="n">
        <f aca="false">1-C40</f>
        <v>0.55</v>
      </c>
    </row>
    <row r="42" customFormat="false" ht="15" hidden="false" customHeight="true" outlineLevel="0" collapsed="false">
      <c r="B42" s="6" t="s">
        <v>141</v>
      </c>
      <c r="C42" s="16" t="n">
        <v>0.075</v>
      </c>
    </row>
    <row r="43" customFormat="false" ht="15" hidden="false" customHeight="true" outlineLevel="0" collapsed="false">
      <c r="B43" s="6" t="s">
        <v>142</v>
      </c>
      <c r="C43" s="18" t="n">
        <v>10</v>
      </c>
    </row>
    <row r="46" customFormat="false" ht="15" hidden="false" customHeight="true" outlineLevel="0" collapsed="false">
      <c r="B46" s="34" t="s">
        <v>143</v>
      </c>
      <c r="C46" s="34"/>
      <c r="D46" s="34"/>
      <c r="E46" s="34"/>
      <c r="F46" s="34"/>
      <c r="G46" s="34"/>
      <c r="H46" s="34"/>
      <c r="I46" s="34"/>
    </row>
    <row r="47" customFormat="false" ht="15" hidden="false" customHeight="true" outlineLevel="0" collapsed="false">
      <c r="B47" s="34"/>
      <c r="C47" s="34"/>
      <c r="D47" s="34"/>
      <c r="E47" s="34"/>
      <c r="F47" s="34"/>
      <c r="G47" s="34"/>
      <c r="H47" s="34"/>
      <c r="I47" s="34"/>
    </row>
    <row r="48" customFormat="false" ht="15" hidden="false" customHeight="true" outlineLevel="0" collapsed="false">
      <c r="B48" s="34"/>
      <c r="C48" s="34"/>
      <c r="D48" s="34"/>
      <c r="E48" s="34"/>
      <c r="F48" s="34"/>
      <c r="G48" s="34"/>
      <c r="H48" s="34"/>
      <c r="I48" s="34"/>
    </row>
  </sheetData>
  <mergeCells count="12">
    <mergeCell ref="A1:I1"/>
    <mergeCell ref="A2:I2"/>
    <mergeCell ref="A4:I4"/>
    <mergeCell ref="A8:I8"/>
    <mergeCell ref="A13:I13"/>
    <mergeCell ref="A17:I17"/>
    <mergeCell ref="A21:I21"/>
    <mergeCell ref="A26:I26"/>
    <mergeCell ref="A32:I32"/>
    <mergeCell ref="A35:I35"/>
    <mergeCell ref="A39:I39"/>
    <mergeCell ref="B46:I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3" min="3" style="1" width="14"/>
    <col collapsed="false" customWidth="true" hidden="false" outlineLevel="0" max="4" min="4" style="1" width="40"/>
  </cols>
  <sheetData>
    <row r="1" customFormat="false" ht="25.5" hidden="false" customHeight="true" outlineLevel="0" collapsed="false">
      <c r="A1" s="2" t="s">
        <v>144</v>
      </c>
      <c r="B1" s="2"/>
      <c r="C1" s="2"/>
      <c r="D1" s="2"/>
    </row>
    <row r="2" customFormat="false" ht="18" hidden="false" customHeight="true" outlineLevel="0" collapsed="false">
      <c r="A2" s="3" t="s">
        <v>145</v>
      </c>
      <c r="B2" s="3"/>
      <c r="C2" s="3"/>
      <c r="D2" s="3"/>
    </row>
    <row r="4" customFormat="false" ht="15" hidden="false" customHeight="true" outlineLevel="0" collapsed="false">
      <c r="B4" s="35" t="s">
        <v>146</v>
      </c>
      <c r="C4" s="5" t="s">
        <v>147</v>
      </c>
      <c r="D4" s="35" t="s">
        <v>148</v>
      </c>
    </row>
    <row r="5" customFormat="false" ht="15" hidden="false" customHeight="true" outlineLevel="0" collapsed="false">
      <c r="A5" s="4" t="s">
        <v>149</v>
      </c>
      <c r="B5" s="4"/>
      <c r="C5" s="4"/>
      <c r="D5" s="4"/>
    </row>
    <row r="6" customFormat="false" ht="15" hidden="false" customHeight="true" outlineLevel="0" collapsed="false">
      <c r="B6" s="6" t="s">
        <v>150</v>
      </c>
      <c r="C6" s="15" t="n">
        <v>40000</v>
      </c>
      <c r="D6" s="20" t="s">
        <v>151</v>
      </c>
    </row>
    <row r="8" customFormat="false" ht="15" hidden="false" customHeight="true" outlineLevel="0" collapsed="false">
      <c r="A8" s="4" t="s">
        <v>152</v>
      </c>
      <c r="B8" s="4"/>
      <c r="C8" s="4"/>
      <c r="D8" s="4"/>
    </row>
    <row r="9" customFormat="false" ht="15" hidden="false" customHeight="true" outlineLevel="0" collapsed="false">
      <c r="B9" s="6" t="s">
        <v>153</v>
      </c>
      <c r="C9" s="15" t="n">
        <v>35000</v>
      </c>
    </row>
    <row r="10" customFormat="false" ht="15" hidden="false" customHeight="true" outlineLevel="0" collapsed="false">
      <c r="B10" s="6" t="s">
        <v>154</v>
      </c>
      <c r="C10" s="15" t="n">
        <v>18000</v>
      </c>
    </row>
    <row r="11" customFormat="false" ht="15" hidden="false" customHeight="true" outlineLevel="0" collapsed="false">
      <c r="B11" s="12" t="s">
        <v>155</v>
      </c>
      <c r="C11" s="25" t="n">
        <f aca="false">SUM(C9:C10)</f>
        <v>53000</v>
      </c>
    </row>
    <row r="13" customFormat="false" ht="15" hidden="false" customHeight="true" outlineLevel="0" collapsed="false">
      <c r="A13" s="4" t="s">
        <v>156</v>
      </c>
      <c r="B13" s="4"/>
      <c r="C13" s="4"/>
      <c r="D13" s="4"/>
    </row>
    <row r="14" customFormat="false" ht="15" hidden="false" customHeight="true" outlineLevel="0" collapsed="false">
      <c r="B14" s="6" t="s">
        <v>157</v>
      </c>
      <c r="C14" s="15" t="n">
        <v>150000</v>
      </c>
      <c r="D14" s="20" t="s">
        <v>158</v>
      </c>
    </row>
    <row r="15" customFormat="false" ht="15" hidden="false" customHeight="true" outlineLevel="0" collapsed="false">
      <c r="B15" s="6" t="s">
        <v>159</v>
      </c>
      <c r="C15" s="8" t="n">
        <f aca="false">C14*Hypotheses!C5</f>
        <v>1800000</v>
      </c>
    </row>
    <row r="16" customFormat="false" ht="15" hidden="false" customHeight="true" outlineLevel="0" collapsed="false">
      <c r="B16" s="6" t="s">
        <v>160</v>
      </c>
      <c r="C16" s="15" t="n">
        <v>280000</v>
      </c>
    </row>
    <row r="17" customFormat="false" ht="15" hidden="false" customHeight="true" outlineLevel="0" collapsed="false">
      <c r="B17" s="6" t="s">
        <v>161</v>
      </c>
      <c r="C17" s="15" t="n">
        <v>90000</v>
      </c>
    </row>
    <row r="18" customFormat="false" ht="15" hidden="false" customHeight="true" outlineLevel="0" collapsed="false">
      <c r="B18" s="12" t="s">
        <v>162</v>
      </c>
      <c r="C18" s="25" t="n">
        <f aca="false">C15+C16+C17</f>
        <v>2170000</v>
      </c>
    </row>
    <row r="20" customFormat="false" ht="15" hidden="false" customHeight="true" outlineLevel="0" collapsed="false">
      <c r="A20" s="4" t="s">
        <v>163</v>
      </c>
      <c r="B20" s="4"/>
      <c r="C20" s="4"/>
      <c r="D20" s="4"/>
    </row>
    <row r="21" customFormat="false" ht="15" hidden="false" customHeight="true" outlineLevel="0" collapsed="false">
      <c r="B21" s="6" t="s">
        <v>164</v>
      </c>
      <c r="C21" s="15" t="n">
        <v>130000</v>
      </c>
    </row>
    <row r="22" customFormat="false" ht="15" hidden="false" customHeight="true" outlineLevel="0" collapsed="false">
      <c r="B22" s="6" t="s">
        <v>165</v>
      </c>
      <c r="C22" s="15" t="n">
        <v>20000</v>
      </c>
    </row>
    <row r="23" customFormat="false" ht="15" hidden="false" customHeight="true" outlineLevel="0" collapsed="false">
      <c r="B23" s="6" t="s">
        <v>166</v>
      </c>
      <c r="C23" s="15" t="n">
        <v>45000</v>
      </c>
    </row>
    <row r="24" customFormat="false" ht="15" hidden="false" customHeight="true" outlineLevel="0" collapsed="false">
      <c r="B24" s="6" t="s">
        <v>167</v>
      </c>
      <c r="C24" s="15" t="n">
        <v>35000</v>
      </c>
    </row>
    <row r="25" customFormat="false" ht="15" hidden="false" customHeight="true" outlineLevel="0" collapsed="false">
      <c r="B25" s="6" t="s">
        <v>168</v>
      </c>
      <c r="C25" s="15" t="n">
        <v>15000</v>
      </c>
    </row>
    <row r="26" customFormat="false" ht="15" hidden="false" customHeight="true" outlineLevel="0" collapsed="false">
      <c r="B26" s="12" t="s">
        <v>169</v>
      </c>
      <c r="C26" s="25" t="n">
        <f aca="false">SUM(C21:C25)</f>
        <v>245000</v>
      </c>
    </row>
    <row r="28" customFormat="false" ht="15" hidden="false" customHeight="true" outlineLevel="0" collapsed="false">
      <c r="A28" s="4" t="s">
        <v>170</v>
      </c>
      <c r="B28" s="4"/>
      <c r="C28" s="4"/>
      <c r="D28" s="4"/>
    </row>
    <row r="29" customFormat="false" ht="15" hidden="false" customHeight="true" outlineLevel="0" collapsed="false">
      <c r="B29" s="6" t="s">
        <v>171</v>
      </c>
      <c r="C29" s="15" t="n">
        <v>12000</v>
      </c>
    </row>
    <row r="30" customFormat="false" ht="15" hidden="false" customHeight="true" outlineLevel="0" collapsed="false">
      <c r="B30" s="6" t="s">
        <v>172</v>
      </c>
      <c r="C30" s="8" t="n">
        <f aca="false">C29*Hypotheses!C5</f>
        <v>144000</v>
      </c>
    </row>
    <row r="31" customFormat="false" ht="15" hidden="false" customHeight="true" outlineLevel="0" collapsed="false">
      <c r="B31" s="6" t="s">
        <v>173</v>
      </c>
      <c r="C31" s="15" t="n">
        <v>70000</v>
      </c>
    </row>
    <row r="32" customFormat="false" ht="15" hidden="false" customHeight="true" outlineLevel="0" collapsed="false">
      <c r="B32" s="12" t="s">
        <v>174</v>
      </c>
      <c r="C32" s="25" t="n">
        <f aca="false">C30+C31</f>
        <v>214000</v>
      </c>
    </row>
    <row r="34" customFormat="false" ht="15" hidden="false" customHeight="true" outlineLevel="0" collapsed="false">
      <c r="A34" s="4" t="s">
        <v>175</v>
      </c>
      <c r="B34" s="4"/>
      <c r="C34" s="4"/>
      <c r="D34" s="4"/>
    </row>
    <row r="35" customFormat="false" ht="15" hidden="false" customHeight="true" outlineLevel="0" collapsed="false">
      <c r="B35" s="6" t="s">
        <v>176</v>
      </c>
      <c r="C35" s="15" t="n">
        <v>45000</v>
      </c>
    </row>
    <row r="36" customFormat="false" ht="15" hidden="false" customHeight="true" outlineLevel="0" collapsed="false">
      <c r="B36" s="6" t="s">
        <v>177</v>
      </c>
      <c r="C36" s="15" t="n">
        <v>60000</v>
      </c>
    </row>
    <row r="37" customFormat="false" ht="15" hidden="false" customHeight="true" outlineLevel="0" collapsed="false">
      <c r="B37" s="12" t="s">
        <v>178</v>
      </c>
      <c r="C37" s="25" t="n">
        <f aca="false">SUM(C35:C36)</f>
        <v>105000</v>
      </c>
    </row>
    <row r="39" customFormat="false" ht="15" hidden="false" customHeight="true" outlineLevel="0" collapsed="false">
      <c r="B39" s="12" t="s">
        <v>179</v>
      </c>
      <c r="C39" s="25" t="n">
        <f aca="false">C6+C11+C18+C26+C32+C37</f>
        <v>2827000</v>
      </c>
    </row>
    <row r="40" customFormat="false" ht="15" hidden="false" customHeight="true" outlineLevel="0" collapsed="false">
      <c r="B40" s="6" t="s">
        <v>180</v>
      </c>
      <c r="C40" s="16" t="n">
        <v>0.1</v>
      </c>
      <c r="D40" s="20" t="s">
        <v>181</v>
      </c>
    </row>
    <row r="41" customFormat="false" ht="15" hidden="false" customHeight="true" outlineLevel="0" collapsed="false">
      <c r="B41" s="6" t="s">
        <v>182</v>
      </c>
      <c r="C41" s="8" t="n">
        <f aca="false">C39*C40</f>
        <v>282700</v>
      </c>
    </row>
    <row r="43" customFormat="false" ht="15" hidden="false" customHeight="true" outlineLevel="0" collapsed="false">
      <c r="B43" s="26" t="s">
        <v>183</v>
      </c>
      <c r="C43" s="27" t="n">
        <f aca="false">C39+C41</f>
        <v>3109700</v>
      </c>
    </row>
    <row r="45" customFormat="false" ht="15" hidden="false" customHeight="true" outlineLevel="0" collapsed="false">
      <c r="B45" s="6" t="s">
        <v>184</v>
      </c>
      <c r="C45" s="8" t="n">
        <f aca="false">C43-C6</f>
        <v>3069700</v>
      </c>
    </row>
    <row r="46" customFormat="false" ht="15" hidden="false" customHeight="true" outlineLevel="0" collapsed="false">
      <c r="B46" s="6" t="s">
        <v>185</v>
      </c>
      <c r="C46" s="8" t="n">
        <f aca="false">C43/Hypotheses!C5</f>
        <v>259141.666666667</v>
      </c>
    </row>
  </sheetData>
  <mergeCells count="8">
    <mergeCell ref="A1:D1"/>
    <mergeCell ref="A2:D2"/>
    <mergeCell ref="A5:D5"/>
    <mergeCell ref="A8:D8"/>
    <mergeCell ref="A13:D13"/>
    <mergeCell ref="A20:D20"/>
    <mergeCell ref="A28:D28"/>
    <mergeCell ref="A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9" min="3" style="1" width="11"/>
  </cols>
  <sheetData>
    <row r="1" customFormat="false" ht="25.5" hidden="false" customHeight="true" outlineLevel="0" collapsed="false">
      <c r="A1" s="2" t="s">
        <v>186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187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</row>
    <row r="5" customFormat="false" ht="15" hidden="false" customHeight="true" outlineLevel="0" collapsed="false">
      <c r="A5" s="4" t="s">
        <v>188</v>
      </c>
      <c r="B5" s="4"/>
      <c r="C5" s="4"/>
      <c r="D5" s="4"/>
      <c r="E5" s="4"/>
      <c r="F5" s="4"/>
      <c r="G5" s="4"/>
      <c r="H5" s="4"/>
      <c r="I5" s="4"/>
    </row>
    <row r="6" customFormat="false" ht="15" hidden="false" customHeight="true" outlineLevel="0" collapsed="false">
      <c r="B6" s="6" t="s">
        <v>189</v>
      </c>
      <c r="C6" s="14" t="n">
        <f aca="false">Hypotheses!$C$5*Hypotheses!$C$6*Hypotheses!C11</f>
        <v>1533</v>
      </c>
      <c r="D6" s="14" t="n">
        <f aca="false">Hypotheses!$C$5*Hypotheses!$C$6*Hypotheses!D11</f>
        <v>1971</v>
      </c>
      <c r="E6" s="14" t="n">
        <f aca="false">Hypotheses!$C$5*Hypotheses!$C$6*Hypotheses!E11</f>
        <v>2409</v>
      </c>
      <c r="F6" s="14" t="n">
        <f aca="false">Hypotheses!$C$5*Hypotheses!$C$6*Hypotheses!F11</f>
        <v>2628</v>
      </c>
      <c r="G6" s="14" t="n">
        <f aca="false">Hypotheses!$C$5*Hypotheses!$C$6*Hypotheses!G11</f>
        <v>2847</v>
      </c>
      <c r="H6" s="14" t="n">
        <f aca="false">Hypotheses!$C$5*Hypotheses!$C$6*Hypotheses!H11</f>
        <v>2847</v>
      </c>
      <c r="I6" s="14" t="n">
        <f aca="false">Hypotheses!$C$5*Hypotheses!$C$6*Hypotheses!I11</f>
        <v>2847</v>
      </c>
    </row>
    <row r="7" customFormat="false" ht="15" hidden="false" customHeight="true" outlineLevel="0" collapsed="false">
      <c r="B7" s="6" t="s">
        <v>190</v>
      </c>
      <c r="C7" s="8" t="n">
        <f aca="false">Hypotheses!C10</f>
        <v>190</v>
      </c>
      <c r="D7" s="8" t="n">
        <f aca="false">Hypotheses!D10</f>
        <v>200</v>
      </c>
      <c r="E7" s="8" t="n">
        <f aca="false">Hypotheses!E10</f>
        <v>210</v>
      </c>
      <c r="F7" s="8" t="n">
        <f aca="false">Hypotheses!F10</f>
        <v>216</v>
      </c>
      <c r="G7" s="8" t="n">
        <f aca="false">Hypotheses!G10</f>
        <v>223</v>
      </c>
      <c r="H7" s="8" t="n">
        <f aca="false">Hypotheses!H10</f>
        <v>229</v>
      </c>
      <c r="I7" s="8" t="n">
        <f aca="false">Hypotheses!I10</f>
        <v>236</v>
      </c>
    </row>
    <row r="8" customFormat="false" ht="15" hidden="false" customHeight="true" outlineLevel="0" collapsed="false">
      <c r="A8" s="4" t="s">
        <v>191</v>
      </c>
      <c r="B8" s="4"/>
      <c r="C8" s="4"/>
      <c r="D8" s="4"/>
      <c r="E8" s="4"/>
      <c r="F8" s="4"/>
      <c r="G8" s="4"/>
      <c r="H8" s="4"/>
      <c r="I8" s="4"/>
    </row>
    <row r="9" customFormat="false" ht="15" hidden="false" customHeight="true" outlineLevel="0" collapsed="false">
      <c r="B9" s="6" t="s">
        <v>63</v>
      </c>
      <c r="C9" s="8" t="n">
        <f aca="false">C6*Hypotheses!C10</f>
        <v>291270</v>
      </c>
      <c r="D9" s="8" t="n">
        <f aca="false">D6*Hypotheses!D10</f>
        <v>394200</v>
      </c>
      <c r="E9" s="8" t="n">
        <f aca="false">E6*Hypotheses!E10</f>
        <v>505890</v>
      </c>
      <c r="F9" s="8" t="n">
        <f aca="false">F6*Hypotheses!F10</f>
        <v>567648</v>
      </c>
      <c r="G9" s="8" t="n">
        <f aca="false">G6*Hypotheses!G10</f>
        <v>634881</v>
      </c>
      <c r="H9" s="8" t="n">
        <f aca="false">H6*Hypotheses!H10</f>
        <v>651963</v>
      </c>
      <c r="I9" s="8" t="n">
        <f aca="false">I6*Hypotheses!I10</f>
        <v>671892</v>
      </c>
    </row>
    <row r="10" customFormat="false" ht="15" hidden="false" customHeight="true" outlineLevel="0" collapsed="false">
      <c r="B10" s="6" t="s">
        <v>192</v>
      </c>
      <c r="C10" s="8" t="n">
        <f aca="false">C9*Hypotheses!$C$14</f>
        <v>110682.6</v>
      </c>
      <c r="D10" s="8" t="n">
        <f aca="false">D9*Hypotheses!$C$14</f>
        <v>149796</v>
      </c>
      <c r="E10" s="8" t="n">
        <f aca="false">E9*Hypotheses!$C$14</f>
        <v>192238.2</v>
      </c>
      <c r="F10" s="8" t="n">
        <f aca="false">F9*Hypotheses!$C$14</f>
        <v>215706.24</v>
      </c>
      <c r="G10" s="8" t="n">
        <f aca="false">G9*Hypotheses!$C$14</f>
        <v>241254.78</v>
      </c>
      <c r="H10" s="8" t="n">
        <f aca="false">H9*Hypotheses!$C$14</f>
        <v>247745.94</v>
      </c>
      <c r="I10" s="8" t="n">
        <f aca="false">I9*Hypotheses!$C$14</f>
        <v>255318.96</v>
      </c>
    </row>
    <row r="11" customFormat="false" ht="15" hidden="false" customHeight="true" outlineLevel="0" collapsed="false">
      <c r="B11" s="6" t="s">
        <v>193</v>
      </c>
      <c r="C11" s="8" t="n">
        <f aca="false">C9*Hypotheses!$C$15</f>
        <v>46603.2</v>
      </c>
      <c r="D11" s="8" t="n">
        <f aca="false">D9*Hypotheses!$C$15</f>
        <v>63072</v>
      </c>
      <c r="E11" s="8" t="n">
        <f aca="false">E9*Hypotheses!$C$15</f>
        <v>80942.4</v>
      </c>
      <c r="F11" s="8" t="n">
        <f aca="false">F9*Hypotheses!$C$15</f>
        <v>90823.68</v>
      </c>
      <c r="G11" s="8" t="n">
        <f aca="false">G9*Hypotheses!$C$15</f>
        <v>101580.96</v>
      </c>
      <c r="H11" s="8" t="n">
        <f aca="false">H9*Hypotheses!$C$15</f>
        <v>104314.08</v>
      </c>
      <c r="I11" s="8" t="n">
        <f aca="false">I9*Hypotheses!$C$15</f>
        <v>107502.72</v>
      </c>
    </row>
    <row r="12" customFormat="false" ht="15" hidden="false" customHeight="true" outlineLevel="0" collapsed="false">
      <c r="B12" s="12" t="s">
        <v>65</v>
      </c>
      <c r="C12" s="25" t="n">
        <f aca="false">C9+C10+C11</f>
        <v>448555.8</v>
      </c>
      <c r="D12" s="25" t="n">
        <f aca="false">D9+D10+D11</f>
        <v>607068</v>
      </c>
      <c r="E12" s="25" t="n">
        <f aca="false">E9+E10+E11</f>
        <v>779070.6</v>
      </c>
      <c r="F12" s="25" t="n">
        <f aca="false">F9+F10+F11</f>
        <v>874177.92</v>
      </c>
      <c r="G12" s="25" t="n">
        <f aca="false">G9+G10+G11</f>
        <v>977716.74</v>
      </c>
      <c r="H12" s="25" t="n">
        <f aca="false">H9+H10+H11</f>
        <v>1004023.02</v>
      </c>
      <c r="I12" s="25" t="n">
        <f aca="false">I9+I10+I11</f>
        <v>1034713.68</v>
      </c>
    </row>
    <row r="13" customFormat="false" ht="15" hidden="false" customHeight="true" outlineLevel="0" collapsed="false">
      <c r="B13" s="6" t="s">
        <v>194</v>
      </c>
      <c r="C13" s="8" t="n">
        <f aca="false">-C12*Hypotheses!$C$18</f>
        <v>-53826.696</v>
      </c>
      <c r="D13" s="8" t="n">
        <f aca="false">-D12*Hypotheses!$C$18</f>
        <v>-72848.16</v>
      </c>
      <c r="E13" s="8" t="n">
        <f aca="false">-E12*Hypotheses!$C$18</f>
        <v>-93488.472</v>
      </c>
      <c r="F13" s="8" t="n">
        <f aca="false">-F12*Hypotheses!$C$18</f>
        <v>-104901.3504</v>
      </c>
      <c r="G13" s="8" t="n">
        <f aca="false">-G12*Hypotheses!$C$18</f>
        <v>-117326.0088</v>
      </c>
      <c r="H13" s="8" t="n">
        <f aca="false">-H12*Hypotheses!$C$18</f>
        <v>-120482.7624</v>
      </c>
      <c r="I13" s="8" t="n">
        <f aca="false">-I12*Hypotheses!$C$18</f>
        <v>-124165.6416</v>
      </c>
    </row>
    <row r="14" customFormat="false" ht="15" hidden="false" customHeight="true" outlineLevel="0" collapsed="false">
      <c r="B14" s="12" t="s">
        <v>67</v>
      </c>
      <c r="C14" s="25" t="n">
        <f aca="false">C12+C13</f>
        <v>394729.104</v>
      </c>
      <c r="D14" s="25" t="n">
        <f aca="false">D12+D13</f>
        <v>534219.84</v>
      </c>
      <c r="E14" s="25" t="n">
        <f aca="false">E12+E13</f>
        <v>685582.128</v>
      </c>
      <c r="F14" s="25" t="n">
        <f aca="false">F12+F13</f>
        <v>769276.5696</v>
      </c>
      <c r="G14" s="25" t="n">
        <f aca="false">G12+G13</f>
        <v>860390.7312</v>
      </c>
      <c r="H14" s="25" t="n">
        <f aca="false">H12+H13</f>
        <v>883540.2576</v>
      </c>
      <c r="I14" s="25" t="n">
        <f aca="false">I12+I13</f>
        <v>910548.0384</v>
      </c>
    </row>
    <row r="16" customFormat="false" ht="15" hidden="false" customHeight="true" outlineLevel="0" collapsed="false">
      <c r="A16" s="4" t="s">
        <v>195</v>
      </c>
      <c r="B16" s="4"/>
      <c r="C16" s="4"/>
      <c r="D16" s="4"/>
      <c r="E16" s="4"/>
      <c r="F16" s="4"/>
      <c r="G16" s="4"/>
      <c r="H16" s="4"/>
      <c r="I16" s="4"/>
    </row>
    <row r="17" customFormat="false" ht="15" hidden="false" customHeight="true" outlineLevel="0" collapsed="false">
      <c r="B17" s="6" t="s">
        <v>68</v>
      </c>
      <c r="C17" s="8" t="n">
        <f aca="false">-C10*Hypotheses!$C$19</f>
        <v>-35418.432</v>
      </c>
      <c r="D17" s="8" t="n">
        <f aca="false">-D10*Hypotheses!$C$19</f>
        <v>-47934.72</v>
      </c>
      <c r="E17" s="8" t="n">
        <f aca="false">-E10*Hypotheses!$C$19</f>
        <v>-61516.224</v>
      </c>
      <c r="F17" s="8" t="n">
        <f aca="false">-F10*Hypotheses!$C$19</f>
        <v>-69025.9968</v>
      </c>
      <c r="G17" s="8" t="n">
        <f aca="false">-G10*Hypotheses!$C$19</f>
        <v>-77201.5296</v>
      </c>
      <c r="H17" s="8" t="n">
        <f aca="false">-H10*Hypotheses!$C$19</f>
        <v>-79278.7008</v>
      </c>
      <c r="I17" s="8" t="n">
        <f aca="false">-I10*Hypotheses!$C$19</f>
        <v>-81702.0672</v>
      </c>
    </row>
    <row r="18" customFormat="false" ht="15" hidden="false" customHeight="true" outlineLevel="0" collapsed="false">
      <c r="B18" s="6" t="s">
        <v>196</v>
      </c>
      <c r="C18" s="8" t="n">
        <f aca="false">-Hypotheses!$C$22*Hypotheses!$C$23*(1+Hypotheses!$C$24)^0</f>
        <v>-64600</v>
      </c>
      <c r="D18" s="8" t="n">
        <f aca="false">-Hypotheses!$C$22*Hypotheses!$C$23*(1+Hypotheses!$C$24)^1</f>
        <v>-67184</v>
      </c>
      <c r="E18" s="8" t="n">
        <f aca="false">-Hypotheses!$C$22*Hypotheses!$C$23*(1+Hypotheses!$C$24)^2</f>
        <v>-69871.36</v>
      </c>
      <c r="F18" s="8" t="n">
        <f aca="false">-Hypotheses!$C$22*Hypotheses!$C$23*(1+Hypotheses!$C$24)^3</f>
        <v>-72666.2144</v>
      </c>
      <c r="G18" s="8" t="n">
        <f aca="false">-Hypotheses!$C$22*Hypotheses!$C$23*(1+Hypotheses!$C$24)^4</f>
        <v>-75572.862976</v>
      </c>
      <c r="H18" s="8" t="n">
        <f aca="false">-Hypotheses!$C$22*Hypotheses!$C$23*(1+Hypotheses!$C$24)^5</f>
        <v>-78595.77749504</v>
      </c>
      <c r="I18" s="8" t="n">
        <f aca="false">-Hypotheses!$C$22*Hypotheses!$C$23*(1+Hypotheses!$C$24)^6</f>
        <v>-81739.6085948416</v>
      </c>
    </row>
    <row r="19" customFormat="false" ht="15" hidden="false" customHeight="true" outlineLevel="0" collapsed="false">
      <c r="B19" s="6" t="s">
        <v>70</v>
      </c>
      <c r="C19" s="8" t="n">
        <f aca="false">-Hypotheses!$C$33</f>
        <v>-8000</v>
      </c>
      <c r="D19" s="8" t="n">
        <f aca="false">-Hypotheses!$C$33</f>
        <v>-8000</v>
      </c>
      <c r="E19" s="8" t="n">
        <f aca="false">-Hypotheses!$C$33</f>
        <v>-8000</v>
      </c>
      <c r="F19" s="8" t="n">
        <f aca="false">-Hypotheses!$C$33</f>
        <v>-8000</v>
      </c>
      <c r="G19" s="8" t="n">
        <f aca="false">-Hypotheses!$C$33</f>
        <v>-8000</v>
      </c>
      <c r="H19" s="8" t="n">
        <f aca="false">-Hypotheses!$C$33</f>
        <v>-8000</v>
      </c>
      <c r="I19" s="8" t="n">
        <f aca="false">-Hypotheses!$C$33</f>
        <v>-8000</v>
      </c>
    </row>
    <row r="20" customFormat="false" ht="15" hidden="false" customHeight="true" outlineLevel="0" collapsed="false">
      <c r="B20" s="6" t="s">
        <v>197</v>
      </c>
      <c r="C20" s="8" t="n">
        <f aca="false">-C12*Hypotheses!$C$27</f>
        <v>-26913.348</v>
      </c>
      <c r="D20" s="8" t="n">
        <f aca="false">-D12*Hypotheses!$C$27</f>
        <v>-36424.08</v>
      </c>
      <c r="E20" s="8" t="n">
        <f aca="false">-E12*Hypotheses!$C$27</f>
        <v>-46744.236</v>
      </c>
      <c r="F20" s="8" t="n">
        <f aca="false">-F12*Hypotheses!$C$27</f>
        <v>-52450.6752</v>
      </c>
      <c r="G20" s="8" t="n">
        <f aca="false">-G12*Hypotheses!$C$27</f>
        <v>-58663.0044</v>
      </c>
      <c r="H20" s="8" t="n">
        <f aca="false">-H12*Hypotheses!$C$27</f>
        <v>-60241.3812</v>
      </c>
      <c r="I20" s="8" t="n">
        <f aca="false">-I12*Hypotheses!$C$27</f>
        <v>-62082.8208</v>
      </c>
    </row>
    <row r="21" customFormat="false" ht="15" hidden="false" customHeight="true" outlineLevel="0" collapsed="false">
      <c r="B21" s="6" t="s">
        <v>130</v>
      </c>
      <c r="C21" s="8" t="n">
        <f aca="false">-C12*Hypotheses!$C$28</f>
        <v>-11213.895</v>
      </c>
      <c r="D21" s="8" t="n">
        <f aca="false">-D12*Hypotheses!$C$28</f>
        <v>-15176.7</v>
      </c>
      <c r="E21" s="8" t="n">
        <f aca="false">-E12*Hypotheses!$C$28</f>
        <v>-19476.765</v>
      </c>
      <c r="F21" s="8" t="n">
        <f aca="false">-F12*Hypotheses!$C$28</f>
        <v>-21854.448</v>
      </c>
      <c r="G21" s="8" t="n">
        <f aca="false">-G12*Hypotheses!$C$28</f>
        <v>-24442.9185</v>
      </c>
      <c r="H21" s="8" t="n">
        <f aca="false">-H12*Hypotheses!$C$28</f>
        <v>-25100.5755</v>
      </c>
      <c r="I21" s="8" t="n">
        <f aca="false">-I12*Hypotheses!$C$28</f>
        <v>-25867.842</v>
      </c>
    </row>
    <row r="22" customFormat="false" ht="15" hidden="false" customHeight="true" outlineLevel="0" collapsed="false">
      <c r="B22" s="6" t="s">
        <v>198</v>
      </c>
      <c r="C22" s="8" t="n">
        <f aca="false">-C12*Hypotheses!$C$29</f>
        <v>-22427.79</v>
      </c>
      <c r="D22" s="8" t="n">
        <f aca="false">-D12*Hypotheses!$C$29</f>
        <v>-30353.4</v>
      </c>
      <c r="E22" s="8" t="n">
        <f aca="false">-E12*Hypotheses!$C$29</f>
        <v>-38953.53</v>
      </c>
      <c r="F22" s="8" t="n">
        <f aca="false">-F12*Hypotheses!$C$29</f>
        <v>-43708.896</v>
      </c>
      <c r="G22" s="8" t="n">
        <f aca="false">-G12*Hypotheses!$C$29</f>
        <v>-48885.837</v>
      </c>
      <c r="H22" s="8" t="n">
        <f aca="false">-H12*Hypotheses!$C$29</f>
        <v>-50201.151</v>
      </c>
      <c r="I22" s="8" t="n">
        <f aca="false">-I12*Hypotheses!$C$29</f>
        <v>-51735.684</v>
      </c>
    </row>
    <row r="23" customFormat="false" ht="15" hidden="false" customHeight="true" outlineLevel="0" collapsed="false">
      <c r="B23" s="6" t="s">
        <v>199</v>
      </c>
      <c r="C23" s="8" t="n">
        <f aca="false">-C12*Hypotheses!$C$30</f>
        <v>-17942.232</v>
      </c>
      <c r="D23" s="8" t="n">
        <f aca="false">-D12*Hypotheses!$C$30</f>
        <v>-24282.72</v>
      </c>
      <c r="E23" s="8" t="n">
        <f aca="false">-E12*Hypotheses!$C$30</f>
        <v>-31162.824</v>
      </c>
      <c r="F23" s="8" t="n">
        <f aca="false">-F12*Hypotheses!$C$30</f>
        <v>-34967.1168</v>
      </c>
      <c r="G23" s="8" t="n">
        <f aca="false">-G12*Hypotheses!$C$30</f>
        <v>-39108.6696</v>
      </c>
      <c r="H23" s="8" t="n">
        <f aca="false">-H12*Hypotheses!$C$30</f>
        <v>-40160.9208</v>
      </c>
      <c r="I23" s="8" t="n">
        <f aca="false">-I12*Hypotheses!$C$30</f>
        <v>-41388.5472</v>
      </c>
    </row>
    <row r="24" customFormat="false" ht="15" hidden="false" customHeight="true" outlineLevel="0" collapsed="false">
      <c r="B24" s="12" t="s">
        <v>72</v>
      </c>
      <c r="C24" s="25" t="n">
        <f aca="false">C17+C18+C19+C20+C21+C22+C23</f>
        <v>-186515.697</v>
      </c>
      <c r="D24" s="25" t="n">
        <f aca="false">D17+D18+D19+D20+D21+D22+D23</f>
        <v>-229355.62</v>
      </c>
      <c r="E24" s="25" t="n">
        <f aca="false">E17+E18+E19+E20+E21+E22+E23</f>
        <v>-275724.939</v>
      </c>
      <c r="F24" s="25" t="n">
        <f aca="false">F17+F18+F19+F20+F21+F22+F23</f>
        <v>-302673.3472</v>
      </c>
      <c r="G24" s="25" t="n">
        <f aca="false">G17+G18+G19+G20+G21+G22+G23</f>
        <v>-331874.822076</v>
      </c>
      <c r="H24" s="25" t="n">
        <f aca="false">H17+H18+H19+H20+H21+H22+H23</f>
        <v>-341578.50679504</v>
      </c>
      <c r="I24" s="25" t="n">
        <f aca="false">I17+I18+I19+I20+I21+I22+I23</f>
        <v>-352516.569794842</v>
      </c>
    </row>
    <row r="26" customFormat="false" ht="15" hidden="false" customHeight="true" outlineLevel="0" collapsed="false">
      <c r="B26" s="28" t="s">
        <v>200</v>
      </c>
      <c r="C26" s="29" t="n">
        <f aca="false">C14+C24</f>
        <v>208213.407</v>
      </c>
      <c r="D26" s="29" t="n">
        <f aca="false">D14+D24</f>
        <v>304864.22</v>
      </c>
      <c r="E26" s="29" t="n">
        <f aca="false">E14+E24</f>
        <v>409857.189</v>
      </c>
      <c r="F26" s="29" t="n">
        <f aca="false">F14+F24</f>
        <v>466603.2224</v>
      </c>
      <c r="G26" s="29" t="n">
        <f aca="false">G14+G24</f>
        <v>528515.909124</v>
      </c>
      <c r="H26" s="29" t="n">
        <f aca="false">H14+H24</f>
        <v>541961.75080496</v>
      </c>
      <c r="I26" s="29" t="n">
        <f aca="false">I14+I24</f>
        <v>558031.468605158</v>
      </c>
    </row>
    <row r="27" customFormat="false" ht="15" hidden="false" customHeight="true" outlineLevel="0" collapsed="false">
      <c r="B27" s="6" t="s">
        <v>201</v>
      </c>
      <c r="C27" s="36" t="n">
        <f aca="false">C26/C14</f>
        <v>0.527484304780324</v>
      </c>
      <c r="D27" s="36" t="n">
        <f aca="false">D26/D14</f>
        <v>0.570671841764619</v>
      </c>
      <c r="E27" s="36" t="n">
        <f aca="false">E26/E14</f>
        <v>0.597823619171123</v>
      </c>
      <c r="F27" s="36" t="n">
        <f aca="false">F26/F14</f>
        <v>0.606548074956474</v>
      </c>
      <c r="G27" s="36" t="n">
        <f aca="false">G26/G14</f>
        <v>0.614274294176636</v>
      </c>
      <c r="H27" s="36" t="n">
        <f aca="false">H26/H14</f>
        <v>0.613397913839393</v>
      </c>
      <c r="I27" s="36" t="n">
        <f aca="false">I26/I14</f>
        <v>0.612852309896491</v>
      </c>
    </row>
    <row r="29" customFormat="false" ht="15" hidden="false" customHeight="true" outlineLevel="0" collapsed="false">
      <c r="A29" s="4" t="s">
        <v>202</v>
      </c>
      <c r="B29" s="4"/>
      <c r="C29" s="4"/>
      <c r="D29" s="4"/>
      <c r="E29" s="4"/>
      <c r="F29" s="4"/>
      <c r="G29" s="4"/>
      <c r="H29" s="4"/>
      <c r="I29" s="4"/>
    </row>
    <row r="30" customFormat="false" ht="15" hidden="false" customHeight="true" outlineLevel="0" collapsed="false">
      <c r="B30" s="6" t="s">
        <v>203</v>
      </c>
      <c r="C30" s="8" t="n">
        <f aca="false">-CAPEX!$C$45/Hypotheses!$C$37</f>
        <v>-204646.666666667</v>
      </c>
      <c r="D30" s="8" t="n">
        <f aca="false">-CAPEX!$C$45/Hypotheses!$C$37</f>
        <v>-204646.666666667</v>
      </c>
      <c r="E30" s="8" t="n">
        <f aca="false">-CAPEX!$C$45/Hypotheses!$C$37</f>
        <v>-204646.666666667</v>
      </c>
      <c r="F30" s="8" t="n">
        <f aca="false">-CAPEX!$C$45/Hypotheses!$C$37</f>
        <v>-204646.666666667</v>
      </c>
      <c r="G30" s="8" t="n">
        <f aca="false">-CAPEX!$C$45/Hypotheses!$C$37</f>
        <v>-204646.666666667</v>
      </c>
      <c r="H30" s="8" t="n">
        <f aca="false">-CAPEX!$C$45/Hypotheses!$C$37</f>
        <v>-204646.666666667</v>
      </c>
      <c r="I30" s="8" t="n">
        <f aca="false">-CAPEX!$C$45/Hypotheses!$C$37</f>
        <v>-204646.666666667</v>
      </c>
    </row>
    <row r="31" customFormat="false" ht="15" hidden="false" customHeight="true" outlineLevel="0" collapsed="false">
      <c r="B31" s="12" t="s">
        <v>204</v>
      </c>
      <c r="C31" s="25" t="n">
        <f aca="false">C26+C30</f>
        <v>3566.74033333335</v>
      </c>
      <c r="D31" s="25" t="n">
        <f aca="false">D26+D30</f>
        <v>100217.553333333</v>
      </c>
      <c r="E31" s="25" t="n">
        <f aca="false">E26+E30</f>
        <v>205210.522333333</v>
      </c>
      <c r="F31" s="25" t="n">
        <f aca="false">F26+F30</f>
        <v>261956.555733333</v>
      </c>
      <c r="G31" s="25" t="n">
        <f aca="false">G26+G30</f>
        <v>323869.242457333</v>
      </c>
      <c r="H31" s="25" t="n">
        <f aca="false">H26+H30</f>
        <v>337315.084138293</v>
      </c>
      <c r="I31" s="25" t="n">
        <f aca="false">I26+I30</f>
        <v>353384.801938492</v>
      </c>
    </row>
    <row r="32" customFormat="false" ht="15" hidden="false" customHeight="true" outlineLevel="0" collapsed="false">
      <c r="B32" s="6" t="s">
        <v>205</v>
      </c>
      <c r="C32" s="8" t="n">
        <f aca="false">-Financement!C13</f>
        <v>-128275.125</v>
      </c>
      <c r="D32" s="8" t="n">
        <f aca="false">-Financement!D13</f>
        <v>-119207.878823673</v>
      </c>
      <c r="E32" s="8" t="n">
        <f aca="false">-Financement!E13</f>
        <v>-109460.589184122</v>
      </c>
      <c r="F32" s="8" t="n">
        <f aca="false">-Financement!F13</f>
        <v>-98982.2528216043</v>
      </c>
      <c r="G32" s="8" t="n">
        <f aca="false">-Financement!G13</f>
        <v>-87718.0412318979</v>
      </c>
      <c r="H32" s="8" t="n">
        <f aca="false">-Financement!H13</f>
        <v>-75609.0137729634</v>
      </c>
      <c r="I32" s="8" t="n">
        <f aca="false">-Financement!I13</f>
        <v>-62591.8092546089</v>
      </c>
    </row>
    <row r="33" customFormat="false" ht="15" hidden="false" customHeight="true" outlineLevel="0" collapsed="false">
      <c r="B33" s="12" t="s">
        <v>206</v>
      </c>
      <c r="C33" s="25" t="n">
        <f aca="false">C31+C32</f>
        <v>-124708.384666667</v>
      </c>
      <c r="D33" s="25" t="n">
        <f aca="false">D31+D32</f>
        <v>-18990.3254903399</v>
      </c>
      <c r="E33" s="25" t="n">
        <f aca="false">E31+E32</f>
        <v>95749.9331492114</v>
      </c>
      <c r="F33" s="25" t="n">
        <f aca="false">F31+F32</f>
        <v>162974.302911729</v>
      </c>
      <c r="G33" s="25" t="n">
        <f aca="false">G31+G32</f>
        <v>236151.201225435</v>
      </c>
      <c r="H33" s="25" t="n">
        <f aca="false">H31+H32</f>
        <v>261706.07036533</v>
      </c>
      <c r="I33" s="25" t="n">
        <f aca="false">I31+I32</f>
        <v>290792.992683883</v>
      </c>
    </row>
    <row r="34" customFormat="false" ht="15" hidden="false" customHeight="true" outlineLevel="0" collapsed="false">
      <c r="B34" s="6" t="s">
        <v>81</v>
      </c>
      <c r="C34" s="8" t="n">
        <f aca="false">-MAX(C33,0)*Hypotheses!$C$36</f>
        <v>-0</v>
      </c>
      <c r="D34" s="8" t="n">
        <f aca="false">-MAX(D33,0)*Hypotheses!$C$36</f>
        <v>-0</v>
      </c>
      <c r="E34" s="8" t="n">
        <f aca="false">-MAX(E33,0)*Hypotheses!$C$36</f>
        <v>-19149.9866298423</v>
      </c>
      <c r="F34" s="8" t="n">
        <f aca="false">-MAX(F33,0)*Hypotheses!$C$36</f>
        <v>-32594.8605823458</v>
      </c>
      <c r="G34" s="8" t="n">
        <f aca="false">-MAX(G33,0)*Hypotheses!$C$36</f>
        <v>-47230.2402450871</v>
      </c>
      <c r="H34" s="8" t="n">
        <f aca="false">-MAX(H33,0)*Hypotheses!$C$36</f>
        <v>-52341.214073066</v>
      </c>
      <c r="I34" s="8" t="n">
        <f aca="false">-MAX(I33,0)*Hypotheses!$C$36</f>
        <v>-58158.5985367766</v>
      </c>
    </row>
    <row r="35" customFormat="false" ht="15" hidden="false" customHeight="true" outlineLevel="0" collapsed="false">
      <c r="B35" s="12" t="s">
        <v>207</v>
      </c>
      <c r="C35" s="30" t="n">
        <f aca="false">C33+C34</f>
        <v>-124708.384666667</v>
      </c>
      <c r="D35" s="30" t="n">
        <f aca="false">D33+D34</f>
        <v>-18990.3254903399</v>
      </c>
      <c r="E35" s="30" t="n">
        <f aca="false">E33+E34</f>
        <v>76599.9465193691</v>
      </c>
      <c r="F35" s="30" t="n">
        <f aca="false">F33+F34</f>
        <v>130379.442329383</v>
      </c>
      <c r="G35" s="30" t="n">
        <f aca="false">G33+G34</f>
        <v>188920.960980348</v>
      </c>
      <c r="H35" s="30" t="n">
        <f aca="false">H33+H34</f>
        <v>209364.856292264</v>
      </c>
      <c r="I35" s="30" t="n">
        <f aca="false">I33+I34</f>
        <v>232634.394147106</v>
      </c>
    </row>
  </sheetData>
  <mergeCells count="6">
    <mergeCell ref="A1:I1"/>
    <mergeCell ref="A2:I2"/>
    <mergeCell ref="A5:I5"/>
    <mergeCell ref="A8:I8"/>
    <mergeCell ref="A16:I16"/>
    <mergeCell ref="A29:I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2"/>
    <col collapsed="false" customWidth="true" hidden="false" outlineLevel="0" max="9" min="3" style="1" width="11"/>
  </cols>
  <sheetData>
    <row r="1" customFormat="false" ht="25.5" hidden="false" customHeight="true" outlineLevel="0" collapsed="false">
      <c r="A1" s="2" t="s">
        <v>208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209</v>
      </c>
      <c r="B2" s="3"/>
      <c r="C2" s="3"/>
      <c r="D2" s="3"/>
      <c r="E2" s="3"/>
      <c r="F2" s="3"/>
      <c r="G2" s="3"/>
      <c r="H2" s="3"/>
      <c r="I2" s="3"/>
    </row>
    <row r="4" customFormat="false" ht="15" hidden="false" customHeight="true" outlineLevel="0" collapsed="false">
      <c r="A4" s="4" t="s">
        <v>210</v>
      </c>
      <c r="B4" s="4"/>
      <c r="C4" s="4"/>
      <c r="D4" s="4"/>
      <c r="E4" s="4"/>
      <c r="F4" s="4"/>
      <c r="G4" s="4"/>
      <c r="H4" s="4"/>
      <c r="I4" s="4"/>
    </row>
    <row r="5" customFormat="false" ht="15" hidden="false" customHeight="true" outlineLevel="0" collapsed="false">
      <c r="B5" s="6" t="s">
        <v>211</v>
      </c>
      <c r="C5" s="21" t="n">
        <f aca="false">CAPEX!$C$43</f>
        <v>3109700</v>
      </c>
    </row>
    <row r="6" customFormat="false" ht="15" hidden="false" customHeight="true" outlineLevel="0" collapsed="false">
      <c r="B6" s="6" t="s">
        <v>212</v>
      </c>
      <c r="C6" s="8" t="n">
        <f aca="false">C5*Hypotheses!$C$40</f>
        <v>1399365</v>
      </c>
    </row>
    <row r="7" customFormat="false" ht="15" hidden="false" customHeight="true" outlineLevel="0" collapsed="false">
      <c r="B7" s="6" t="s">
        <v>213</v>
      </c>
      <c r="C7" s="8" t="n">
        <f aca="false">C5*Hypotheses!$C$41</f>
        <v>1710335</v>
      </c>
    </row>
    <row r="8" customFormat="false" ht="15" hidden="false" customHeight="true" outlineLevel="0" collapsed="false">
      <c r="B8" s="12" t="s">
        <v>214</v>
      </c>
      <c r="C8" s="25" t="n">
        <f aca="false">C6+C7</f>
        <v>3109700</v>
      </c>
    </row>
    <row r="10" customFormat="false" ht="15" hidden="false" customHeight="true" outlineLevel="0" collapsed="false">
      <c r="A10" s="4" t="s">
        <v>215</v>
      </c>
      <c r="B10" s="4"/>
      <c r="C10" s="4"/>
      <c r="D10" s="4"/>
      <c r="E10" s="4"/>
      <c r="F10" s="4"/>
      <c r="G10" s="4"/>
      <c r="H10" s="4"/>
      <c r="I10" s="4"/>
    </row>
    <row r="11" customFormat="false" ht="15" hidden="false" customHeight="true" outlineLevel="0" collapsed="false">
      <c r="C11" s="5" t="s">
        <v>3</v>
      </c>
      <c r="D11" s="5" t="s">
        <v>4</v>
      </c>
      <c r="E11" s="5" t="s">
        <v>5</v>
      </c>
      <c r="F11" s="5" t="s">
        <v>6</v>
      </c>
      <c r="G11" s="5" t="s">
        <v>7</v>
      </c>
      <c r="H11" s="5" t="s">
        <v>8</v>
      </c>
      <c r="I11" s="5" t="s">
        <v>9</v>
      </c>
    </row>
    <row r="12" customFormat="false" ht="15" hidden="false" customHeight="true" outlineLevel="0" collapsed="false">
      <c r="B12" s="6" t="s">
        <v>216</v>
      </c>
      <c r="C12" s="8" t="n">
        <f aca="false">$C$7</f>
        <v>1710335</v>
      </c>
      <c r="D12" s="8" t="n">
        <f aca="false">C16</f>
        <v>1589438.38431564</v>
      </c>
      <c r="E12" s="8" t="n">
        <f aca="false">D16</f>
        <v>1459474.52245496</v>
      </c>
      <c r="F12" s="8" t="n">
        <f aca="false">E16</f>
        <v>1319763.37095472</v>
      </c>
      <c r="G12" s="8" t="n">
        <f aca="false">F16</f>
        <v>1169573.88309197</v>
      </c>
      <c r="H12" s="8" t="n">
        <f aca="false">G16</f>
        <v>1008120.18363951</v>
      </c>
      <c r="I12" s="8" t="n">
        <f aca="false">H16</f>
        <v>834557.456728119</v>
      </c>
    </row>
    <row r="13" customFormat="false" ht="15" hidden="false" customHeight="true" outlineLevel="0" collapsed="false">
      <c r="B13" s="6" t="s">
        <v>217</v>
      </c>
      <c r="C13" s="8" t="n">
        <f aca="false">C12*Hypotheses!$C$42</f>
        <v>128275.125</v>
      </c>
      <c r="D13" s="8" t="n">
        <f aca="false">D12*Hypotheses!$C$42</f>
        <v>119207.878823673</v>
      </c>
      <c r="E13" s="8" t="n">
        <f aca="false">E12*Hypotheses!$C$42</f>
        <v>109460.589184122</v>
      </c>
      <c r="F13" s="8" t="n">
        <f aca="false">F12*Hypotheses!$C$42</f>
        <v>98982.2528216043</v>
      </c>
      <c r="G13" s="8" t="n">
        <f aca="false">G12*Hypotheses!$C$42</f>
        <v>87718.0412318979</v>
      </c>
      <c r="H13" s="8" t="n">
        <f aca="false">H12*Hypotheses!$C$42</f>
        <v>75609.0137729634</v>
      </c>
      <c r="I13" s="8" t="n">
        <f aca="false">I12*Hypotheses!$C$42</f>
        <v>62591.8092546089</v>
      </c>
    </row>
    <row r="14" customFormat="false" ht="15" hidden="false" customHeight="true" outlineLevel="0" collapsed="false">
      <c r="B14" s="6" t="s">
        <v>218</v>
      </c>
      <c r="C14" s="8" t="n">
        <f aca="false">IF(0&lt;Hypotheses!$C$43,$C$7*Hypotheses!$C$42/(1-(1+Hypotheses!$C$42)^(-Hypotheses!$C$43)),0)</f>
        <v>249171.740684357</v>
      </c>
      <c r="D14" s="8" t="n">
        <f aca="false">IF(1&lt;Hypotheses!$C$43,$C$7*Hypotheses!$C$42/(1-(1+Hypotheses!$C$42)^(-Hypotheses!$C$43)),0)</f>
        <v>249171.740684357</v>
      </c>
      <c r="E14" s="8" t="n">
        <f aca="false">IF(2&lt;Hypotheses!$C$43,$C$7*Hypotheses!$C$42/(1-(1+Hypotheses!$C$42)^(-Hypotheses!$C$43)),0)</f>
        <v>249171.740684357</v>
      </c>
      <c r="F14" s="8" t="n">
        <f aca="false">IF(3&lt;Hypotheses!$C$43,$C$7*Hypotheses!$C$42/(1-(1+Hypotheses!$C$42)^(-Hypotheses!$C$43)),0)</f>
        <v>249171.740684357</v>
      </c>
      <c r="G14" s="8" t="n">
        <f aca="false">IF(4&lt;Hypotheses!$C$43,$C$7*Hypotheses!$C$42/(1-(1+Hypotheses!$C$42)^(-Hypotheses!$C$43)),0)</f>
        <v>249171.740684357</v>
      </c>
      <c r="H14" s="8" t="n">
        <f aca="false">IF(5&lt;Hypotheses!$C$43,$C$7*Hypotheses!$C$42/(1-(1+Hypotheses!$C$42)^(-Hypotheses!$C$43)),0)</f>
        <v>249171.740684357</v>
      </c>
      <c r="I14" s="8" t="n">
        <f aca="false">IF(6&lt;Hypotheses!$C$43,$C$7*Hypotheses!$C$42/(1-(1+Hypotheses!$C$42)^(-Hypotheses!$C$43)),0)</f>
        <v>249171.740684357</v>
      </c>
    </row>
    <row r="15" customFormat="false" ht="15" hidden="false" customHeight="true" outlineLevel="0" collapsed="false">
      <c r="B15" s="6" t="s">
        <v>219</v>
      </c>
      <c r="C15" s="8" t="n">
        <f aca="false">C14-C13</f>
        <v>120896.615684357</v>
      </c>
      <c r="D15" s="8" t="n">
        <f aca="false">D14-D13</f>
        <v>129963.861860684</v>
      </c>
      <c r="E15" s="8" t="n">
        <f aca="false">E14-E13</f>
        <v>139711.151500235</v>
      </c>
      <c r="F15" s="8" t="n">
        <f aca="false">F14-F13</f>
        <v>150189.487862753</v>
      </c>
      <c r="G15" s="8" t="n">
        <f aca="false">G14-G13</f>
        <v>161453.699452459</v>
      </c>
      <c r="H15" s="8" t="n">
        <f aca="false">H14-H13</f>
        <v>173562.726911394</v>
      </c>
      <c r="I15" s="8" t="n">
        <f aca="false">I14-I13</f>
        <v>186579.931429748</v>
      </c>
    </row>
    <row r="16" customFormat="false" ht="15" hidden="false" customHeight="true" outlineLevel="0" collapsed="false">
      <c r="B16" s="6" t="s">
        <v>220</v>
      </c>
      <c r="C16" s="25" t="n">
        <f aca="false">MAX(C12-C15,0)</f>
        <v>1589438.38431564</v>
      </c>
      <c r="D16" s="25" t="n">
        <f aca="false">MAX(D12-D15,0)</f>
        <v>1459474.52245496</v>
      </c>
      <c r="E16" s="25" t="n">
        <f aca="false">MAX(E12-E15,0)</f>
        <v>1319763.37095472</v>
      </c>
      <c r="F16" s="25" t="n">
        <f aca="false">MAX(F12-F15,0)</f>
        <v>1169573.88309197</v>
      </c>
      <c r="G16" s="25" t="n">
        <f aca="false">MAX(G12-G15,0)</f>
        <v>1008120.18363951</v>
      </c>
      <c r="H16" s="25" t="n">
        <f aca="false">MAX(H12-H15,0)</f>
        <v>834557.456728119</v>
      </c>
      <c r="I16" s="25" t="n">
        <f aca="false">MAX(I12-I15,0)</f>
        <v>647977.525298371</v>
      </c>
    </row>
    <row r="18" customFormat="false" ht="15" hidden="false" customHeight="true" outlineLevel="0" collapsed="false">
      <c r="A18" s="4" t="s">
        <v>221</v>
      </c>
      <c r="B18" s="4"/>
      <c r="C18" s="4"/>
      <c r="D18" s="4"/>
      <c r="E18" s="4"/>
      <c r="F18" s="4"/>
      <c r="G18" s="4"/>
      <c r="H18" s="4"/>
      <c r="I18" s="4"/>
    </row>
    <row r="19" customFormat="false" ht="15" hidden="false" customHeight="true" outlineLevel="0" collapsed="false">
      <c r="C19" s="5" t="s">
        <v>3</v>
      </c>
      <c r="D19" s="5" t="s">
        <v>4</v>
      </c>
      <c r="E19" s="5" t="s">
        <v>5</v>
      </c>
      <c r="F19" s="5" t="s">
        <v>6</v>
      </c>
      <c r="G19" s="5" t="s">
        <v>7</v>
      </c>
      <c r="H19" s="5" t="s">
        <v>8</v>
      </c>
      <c r="I19" s="5" t="s">
        <v>9</v>
      </c>
    </row>
    <row r="20" customFormat="false" ht="15" hidden="false" customHeight="true" outlineLevel="0" collapsed="false">
      <c r="B20" s="6" t="s">
        <v>15</v>
      </c>
      <c r="C20" s="8" t="n">
        <f aca="false">'Compte de resultat'!C26</f>
        <v>208213.407</v>
      </c>
      <c r="D20" s="8" t="n">
        <f aca="false">'Compte de resultat'!D26</f>
        <v>304864.22</v>
      </c>
      <c r="E20" s="8" t="n">
        <f aca="false">'Compte de resultat'!E26</f>
        <v>409857.189</v>
      </c>
      <c r="F20" s="8" t="n">
        <f aca="false">'Compte de resultat'!F26</f>
        <v>466603.2224</v>
      </c>
      <c r="G20" s="8" t="n">
        <f aca="false">'Compte de resultat'!G26</f>
        <v>528515.909124</v>
      </c>
      <c r="H20" s="8" t="n">
        <f aca="false">'Compte de resultat'!H26</f>
        <v>541961.75080496</v>
      </c>
      <c r="I20" s="8" t="n">
        <f aca="false">'Compte de resultat'!I26</f>
        <v>558031.468605158</v>
      </c>
    </row>
    <row r="21" customFormat="false" ht="15" hidden="false" customHeight="true" outlineLevel="0" collapsed="false">
      <c r="B21" s="6" t="s">
        <v>222</v>
      </c>
      <c r="C21" s="8" t="n">
        <f aca="false">'Compte de resultat'!C34</f>
        <v>-0</v>
      </c>
      <c r="D21" s="8" t="n">
        <f aca="false">'Compte de resultat'!D34</f>
        <v>-0</v>
      </c>
      <c r="E21" s="8" t="n">
        <f aca="false">'Compte de resultat'!E34</f>
        <v>-19149.9866298423</v>
      </c>
      <c r="F21" s="8" t="n">
        <f aca="false">'Compte de resultat'!F34</f>
        <v>-32594.8605823458</v>
      </c>
      <c r="G21" s="8" t="n">
        <f aca="false">'Compte de resultat'!G34</f>
        <v>-47230.2402450871</v>
      </c>
      <c r="H21" s="8" t="n">
        <f aca="false">'Compte de resultat'!H34</f>
        <v>-52341.214073066</v>
      </c>
      <c r="I21" s="8" t="n">
        <f aca="false">'Compte de resultat'!I34</f>
        <v>-58158.5985367766</v>
      </c>
    </row>
    <row r="22" customFormat="false" ht="15" hidden="false" customHeight="true" outlineLevel="0" collapsed="false">
      <c r="B22" s="6" t="s">
        <v>223</v>
      </c>
      <c r="C22" s="8" t="n">
        <f aca="false">-C13</f>
        <v>-128275.125</v>
      </c>
      <c r="D22" s="8" t="n">
        <f aca="false">-D13</f>
        <v>-119207.878823673</v>
      </c>
      <c r="E22" s="8" t="n">
        <f aca="false">-E13</f>
        <v>-109460.589184122</v>
      </c>
      <c r="F22" s="8" t="n">
        <f aca="false">-F13</f>
        <v>-98982.2528216043</v>
      </c>
      <c r="G22" s="8" t="n">
        <f aca="false">-G13</f>
        <v>-87718.0412318979</v>
      </c>
      <c r="H22" s="8" t="n">
        <f aca="false">-H13</f>
        <v>-75609.0137729634</v>
      </c>
      <c r="I22" s="8" t="n">
        <f aca="false">-I13</f>
        <v>-62591.8092546089</v>
      </c>
    </row>
    <row r="23" customFormat="false" ht="15" hidden="false" customHeight="true" outlineLevel="0" collapsed="false">
      <c r="B23" s="6" t="s">
        <v>224</v>
      </c>
      <c r="C23" s="8" t="n">
        <f aca="false">-C15</f>
        <v>-120896.615684357</v>
      </c>
      <c r="D23" s="8" t="n">
        <f aca="false">-D15</f>
        <v>-129963.861860684</v>
      </c>
      <c r="E23" s="8" t="n">
        <f aca="false">-E15</f>
        <v>-139711.151500235</v>
      </c>
      <c r="F23" s="8" t="n">
        <f aca="false">-F15</f>
        <v>-150189.487862753</v>
      </c>
      <c r="G23" s="8" t="n">
        <f aca="false">-G15</f>
        <v>-161453.699452459</v>
      </c>
      <c r="H23" s="8" t="n">
        <f aca="false">-H15</f>
        <v>-173562.726911394</v>
      </c>
      <c r="I23" s="8" t="n">
        <f aca="false">-I15</f>
        <v>-186579.931429748</v>
      </c>
    </row>
    <row r="24" customFormat="false" ht="15" hidden="false" customHeight="true" outlineLevel="0" collapsed="false">
      <c r="B24" s="12" t="s">
        <v>225</v>
      </c>
      <c r="C24" s="25" t="n">
        <f aca="false">C20+C21+C22+C23</f>
        <v>-40958.333684357</v>
      </c>
      <c r="D24" s="25" t="n">
        <f aca="false">D20+D21+D22+D23</f>
        <v>55692.479315643</v>
      </c>
      <c r="E24" s="25" t="n">
        <f aca="false">E20+E21+E22+E23</f>
        <v>141535.461685801</v>
      </c>
      <c r="F24" s="25" t="n">
        <f aca="false">F20+F21+F22+F23</f>
        <v>184836.621133297</v>
      </c>
      <c r="G24" s="25" t="n">
        <f aca="false">G20+G21+G22+G23</f>
        <v>232113.928194556</v>
      </c>
      <c r="H24" s="25" t="n">
        <f aca="false">H20+H21+H22+H23</f>
        <v>240448.796047537</v>
      </c>
      <c r="I24" s="25" t="n">
        <f aca="false">I20+I21+I22+I23</f>
        <v>250701.129384025</v>
      </c>
    </row>
    <row r="25" customFormat="false" ht="15" hidden="false" customHeight="true" outlineLevel="0" collapsed="false">
      <c r="B25" s="6" t="s">
        <v>226</v>
      </c>
      <c r="C25" s="31" t="n">
        <f aca="false">-$C$6+C24</f>
        <v>-1440323.33368436</v>
      </c>
      <c r="D25" s="31" t="n">
        <f aca="false">C25+D24</f>
        <v>-1384630.85436871</v>
      </c>
      <c r="E25" s="31" t="n">
        <f aca="false">D25+E24</f>
        <v>-1243095.39268291</v>
      </c>
      <c r="F25" s="31" t="n">
        <f aca="false">E25+F24</f>
        <v>-1058258.77154962</v>
      </c>
      <c r="G25" s="31" t="n">
        <f aca="false">F25+G24</f>
        <v>-826144.84335506</v>
      </c>
      <c r="H25" s="31" t="n">
        <f aca="false">G25+H24</f>
        <v>-585696.047307523</v>
      </c>
      <c r="I25" s="31" t="n">
        <f aca="false">H25+I24</f>
        <v>-334994.917923498</v>
      </c>
    </row>
  </sheetData>
  <mergeCells count="5">
    <mergeCell ref="A1:I1"/>
    <mergeCell ref="A2:I2"/>
    <mergeCell ref="A4:I4"/>
    <mergeCell ref="A10:I10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2026-08-23T14:00:46Z</dcterms:created>
  <dc:creator>openpyxl</dc:creator>
  <dc:description/>
  <dc:language>en-US</dc:language>
  <cp:lastModifiedBy/>
  <dcterms:modified xsi:type="dcterms:W3CDTF">2026-08-24T19:25:00Z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